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Pictures\vs\1983 III чемпионат СССР [Цесис]\"/>
    </mc:Choice>
  </mc:AlternateContent>
  <bookViews>
    <workbookView xWindow="0" yWindow="0" windowWidth="23040" windowHeight="8904" firstSheet="2" activeTab="10"/>
  </bookViews>
  <sheets>
    <sheet name="Итог" sheetId="1" r:id="rId1"/>
    <sheet name="19 м21а" sheetId="2" r:id="rId2"/>
    <sheet name="19 ж21а" sheetId="3" r:id="rId3"/>
    <sheet name="20 м21а" sheetId="5" r:id="rId4"/>
    <sheet name="20 ж21а" sheetId="7" r:id="rId5"/>
    <sheet name="21 ж21" sheetId="8" r:id="rId6"/>
    <sheet name="21 м21" sheetId="10" r:id="rId7"/>
    <sheet name="20 м21а сплит" sheetId="16" r:id="rId8"/>
    <sheet name="20 ж21а сплит" sheetId="17" r:id="rId9"/>
    <sheet name="20 б" sheetId="15" r:id="rId10"/>
    <sheet name="21 а" sheetId="18" r:id="rId11"/>
  </sheets>
  <calcPr calcId="162913"/>
</workbook>
</file>

<file path=xl/calcChain.xml><?xml version="1.0" encoding="utf-8"?>
<calcChain xmlns="http://schemas.openxmlformats.org/spreadsheetml/2006/main">
  <c r="J111" i="17" l="1"/>
  <c r="I111" i="17"/>
  <c r="J110" i="17"/>
  <c r="I110" i="17"/>
  <c r="J109" i="17"/>
  <c r="I109" i="17"/>
  <c r="J108" i="17"/>
  <c r="I108" i="17"/>
  <c r="J101" i="17"/>
  <c r="I101" i="17"/>
  <c r="J100" i="17"/>
  <c r="I100" i="17"/>
  <c r="J99" i="17"/>
  <c r="I99" i="17"/>
  <c r="J98" i="17"/>
  <c r="I98" i="17"/>
  <c r="J91" i="17"/>
  <c r="I91" i="17"/>
  <c r="J90" i="17"/>
  <c r="I90" i="17"/>
  <c r="J89" i="17"/>
  <c r="I89" i="17"/>
  <c r="J88" i="17"/>
  <c r="I88" i="17"/>
  <c r="J81" i="17"/>
  <c r="I81" i="17"/>
  <c r="J80" i="17"/>
  <c r="I80" i="17"/>
  <c r="J79" i="17"/>
  <c r="I79" i="17"/>
  <c r="J78" i="17"/>
  <c r="I78" i="17"/>
  <c r="J71" i="17"/>
  <c r="I71" i="17"/>
  <c r="J70" i="17"/>
  <c r="I70" i="17"/>
  <c r="J69" i="17"/>
  <c r="I69" i="17"/>
  <c r="J68" i="17"/>
  <c r="I68" i="17"/>
  <c r="J61" i="17"/>
  <c r="I61" i="17"/>
  <c r="J60" i="17"/>
  <c r="I60" i="17"/>
  <c r="J59" i="17"/>
  <c r="I59" i="17"/>
  <c r="J58" i="17"/>
  <c r="I58" i="17"/>
  <c r="J51" i="17"/>
  <c r="I51" i="17"/>
  <c r="J50" i="17"/>
  <c r="I50" i="17"/>
  <c r="J49" i="17"/>
  <c r="I49" i="17"/>
  <c r="J48" i="17"/>
  <c r="I48" i="17"/>
  <c r="J41" i="17"/>
  <c r="I41" i="17"/>
  <c r="J40" i="17"/>
  <c r="I40" i="17"/>
  <c r="J39" i="17"/>
  <c r="I39" i="17"/>
  <c r="J38" i="17"/>
  <c r="I38" i="17"/>
  <c r="J31" i="17"/>
  <c r="I31" i="17"/>
  <c r="J30" i="17"/>
  <c r="I30" i="17"/>
  <c r="J29" i="17"/>
  <c r="I29" i="17"/>
  <c r="J28" i="17"/>
  <c r="I28" i="17"/>
  <c r="H110" i="17"/>
  <c r="H111" i="17"/>
  <c r="H109" i="17"/>
  <c r="H108" i="17"/>
  <c r="K108" i="17"/>
  <c r="L108" i="17"/>
  <c r="M108" i="17"/>
  <c r="N108" i="17"/>
  <c r="O108" i="17"/>
  <c r="P108" i="17"/>
  <c r="Q108" i="17"/>
  <c r="R108" i="17"/>
  <c r="S108" i="17"/>
  <c r="K109" i="17"/>
  <c r="L109" i="17"/>
  <c r="M109" i="17"/>
  <c r="N109" i="17"/>
  <c r="O109" i="17"/>
  <c r="P109" i="17"/>
  <c r="Q109" i="17"/>
  <c r="R109" i="17"/>
  <c r="S109" i="17"/>
  <c r="K110" i="17"/>
  <c r="L110" i="17"/>
  <c r="M110" i="17"/>
  <c r="N110" i="17"/>
  <c r="O110" i="17"/>
  <c r="P110" i="17"/>
  <c r="Q110" i="17"/>
  <c r="R110" i="17"/>
  <c r="S110" i="17"/>
  <c r="K111" i="17"/>
  <c r="N111" i="17"/>
  <c r="O111" i="17"/>
  <c r="P111" i="17"/>
  <c r="Q111" i="17"/>
  <c r="R111" i="17"/>
  <c r="S111" i="17"/>
  <c r="H100" i="17"/>
  <c r="H101" i="17"/>
  <c r="H99" i="17"/>
  <c r="H98" i="17"/>
  <c r="K98" i="17"/>
  <c r="L98" i="17"/>
  <c r="M98" i="17"/>
  <c r="N98" i="17"/>
  <c r="O98" i="17"/>
  <c r="P98" i="17"/>
  <c r="Q98" i="17"/>
  <c r="R98" i="17"/>
  <c r="S98" i="17"/>
  <c r="K99" i="17"/>
  <c r="L99" i="17"/>
  <c r="M99" i="17"/>
  <c r="N99" i="17"/>
  <c r="O99" i="17"/>
  <c r="P99" i="17"/>
  <c r="Q99" i="17"/>
  <c r="R99" i="17"/>
  <c r="S99" i="17"/>
  <c r="K100" i="17"/>
  <c r="L100" i="17"/>
  <c r="M100" i="17"/>
  <c r="N100" i="17"/>
  <c r="O100" i="17"/>
  <c r="P100" i="17"/>
  <c r="Q100" i="17"/>
  <c r="R100" i="17"/>
  <c r="S100" i="17"/>
  <c r="K101" i="17"/>
  <c r="L101" i="17"/>
  <c r="M101" i="17"/>
  <c r="N101" i="17"/>
  <c r="O101" i="17"/>
  <c r="P101" i="17"/>
  <c r="Q101" i="17"/>
  <c r="R101" i="17"/>
  <c r="S101" i="17"/>
  <c r="H90" i="17"/>
  <c r="H91" i="17"/>
  <c r="H89" i="17"/>
  <c r="H88" i="17"/>
  <c r="K88" i="17"/>
  <c r="L88" i="17"/>
  <c r="M88" i="17"/>
  <c r="N88" i="17"/>
  <c r="O88" i="17"/>
  <c r="P88" i="17"/>
  <c r="Q88" i="17"/>
  <c r="R88" i="17"/>
  <c r="S88" i="17"/>
  <c r="K89" i="17"/>
  <c r="L89" i="17"/>
  <c r="M89" i="17"/>
  <c r="N89" i="17"/>
  <c r="O89" i="17"/>
  <c r="P89" i="17"/>
  <c r="Q89" i="17"/>
  <c r="R89" i="17"/>
  <c r="S89" i="17"/>
  <c r="K90" i="17"/>
  <c r="L90" i="17"/>
  <c r="M90" i="17"/>
  <c r="N90" i="17"/>
  <c r="O90" i="17"/>
  <c r="P90" i="17"/>
  <c r="Q90" i="17"/>
  <c r="R90" i="17"/>
  <c r="S90" i="17"/>
  <c r="K91" i="17"/>
  <c r="L91" i="17"/>
  <c r="M91" i="17"/>
  <c r="N91" i="17"/>
  <c r="O91" i="17"/>
  <c r="P91" i="17"/>
  <c r="Q91" i="17"/>
  <c r="R91" i="17"/>
  <c r="S91" i="17"/>
  <c r="H80" i="17"/>
  <c r="H81" i="17"/>
  <c r="H79" i="17"/>
  <c r="H78" i="17"/>
  <c r="K78" i="17"/>
  <c r="L78" i="17"/>
  <c r="M78" i="17"/>
  <c r="N78" i="17"/>
  <c r="O78" i="17"/>
  <c r="P78" i="17"/>
  <c r="Q78" i="17"/>
  <c r="R78" i="17"/>
  <c r="S78" i="17"/>
  <c r="K79" i="17"/>
  <c r="L79" i="17"/>
  <c r="M79" i="17"/>
  <c r="N79" i="17"/>
  <c r="O79" i="17"/>
  <c r="P79" i="17"/>
  <c r="Q79" i="17"/>
  <c r="R79" i="17"/>
  <c r="S79" i="17"/>
  <c r="K80" i="17"/>
  <c r="L80" i="17"/>
  <c r="M80" i="17"/>
  <c r="N80" i="17"/>
  <c r="O80" i="17"/>
  <c r="P80" i="17"/>
  <c r="Q80" i="17"/>
  <c r="R80" i="17"/>
  <c r="S80" i="17"/>
  <c r="K81" i="17"/>
  <c r="N81" i="17"/>
  <c r="O81" i="17"/>
  <c r="P81" i="17"/>
  <c r="Q81" i="17"/>
  <c r="R81" i="17"/>
  <c r="S81" i="17"/>
  <c r="H70" i="17"/>
  <c r="H71" i="17"/>
  <c r="H69" i="17"/>
  <c r="H68" i="17"/>
  <c r="K68" i="17"/>
  <c r="L68" i="17"/>
  <c r="M68" i="17"/>
  <c r="N68" i="17"/>
  <c r="O68" i="17"/>
  <c r="P68" i="17"/>
  <c r="Q68" i="17"/>
  <c r="R68" i="17"/>
  <c r="S68" i="17"/>
  <c r="K69" i="17"/>
  <c r="L69" i="17"/>
  <c r="M69" i="17"/>
  <c r="N69" i="17"/>
  <c r="O69" i="17"/>
  <c r="P69" i="17"/>
  <c r="Q69" i="17"/>
  <c r="R69" i="17"/>
  <c r="S69" i="17"/>
  <c r="K70" i="17"/>
  <c r="L70" i="17"/>
  <c r="M70" i="17"/>
  <c r="N70" i="17"/>
  <c r="O70" i="17"/>
  <c r="P70" i="17"/>
  <c r="Q70" i="17"/>
  <c r="R70" i="17"/>
  <c r="S70" i="17"/>
  <c r="K71" i="17"/>
  <c r="L71" i="17"/>
  <c r="M71" i="17"/>
  <c r="N71" i="17"/>
  <c r="O71" i="17"/>
  <c r="P71" i="17"/>
  <c r="Q71" i="17"/>
  <c r="R71" i="17"/>
  <c r="S71" i="17"/>
  <c r="H60" i="17"/>
  <c r="H61" i="17"/>
  <c r="H59" i="17"/>
  <c r="H58" i="17"/>
  <c r="K58" i="17"/>
  <c r="L58" i="17"/>
  <c r="M58" i="17"/>
  <c r="N58" i="17"/>
  <c r="O58" i="17"/>
  <c r="P58" i="17"/>
  <c r="Q58" i="17"/>
  <c r="R58" i="17"/>
  <c r="S58" i="17"/>
  <c r="K59" i="17"/>
  <c r="L59" i="17"/>
  <c r="M59" i="17"/>
  <c r="N59" i="17"/>
  <c r="O59" i="17"/>
  <c r="P59" i="17"/>
  <c r="Q59" i="17"/>
  <c r="R59" i="17"/>
  <c r="S59" i="17"/>
  <c r="K60" i="17"/>
  <c r="L60" i="17"/>
  <c r="M60" i="17"/>
  <c r="N60" i="17"/>
  <c r="O60" i="17"/>
  <c r="P60" i="17"/>
  <c r="Q60" i="17"/>
  <c r="R60" i="17"/>
  <c r="S60" i="17"/>
  <c r="K61" i="17"/>
  <c r="L61" i="17"/>
  <c r="M61" i="17"/>
  <c r="N61" i="17"/>
  <c r="O61" i="17"/>
  <c r="P61" i="17"/>
  <c r="Q61" i="17"/>
  <c r="R61" i="17"/>
  <c r="S61" i="17"/>
  <c r="H50" i="17"/>
  <c r="H51" i="17"/>
  <c r="H49" i="17"/>
  <c r="H48" i="17"/>
  <c r="K48" i="17"/>
  <c r="L48" i="17"/>
  <c r="M48" i="17"/>
  <c r="N48" i="17"/>
  <c r="O48" i="17"/>
  <c r="P48" i="17"/>
  <c r="Q48" i="17"/>
  <c r="R48" i="17"/>
  <c r="S48" i="17"/>
  <c r="K49" i="17"/>
  <c r="L49" i="17"/>
  <c r="M49" i="17"/>
  <c r="N49" i="17"/>
  <c r="O49" i="17"/>
  <c r="P49" i="17"/>
  <c r="Q49" i="17"/>
  <c r="R49" i="17"/>
  <c r="S49" i="17"/>
  <c r="K50" i="17"/>
  <c r="L50" i="17"/>
  <c r="M50" i="17"/>
  <c r="N50" i="17"/>
  <c r="O50" i="17"/>
  <c r="P50" i="17"/>
  <c r="Q50" i="17"/>
  <c r="R50" i="17"/>
  <c r="S50" i="17"/>
  <c r="K51" i="17"/>
  <c r="L51" i="17"/>
  <c r="M51" i="17"/>
  <c r="N51" i="17"/>
  <c r="O51" i="17"/>
  <c r="P51" i="17"/>
  <c r="Q51" i="17"/>
  <c r="R51" i="17"/>
  <c r="S51" i="17"/>
  <c r="H30" i="17"/>
  <c r="H31" i="17"/>
  <c r="H29" i="17"/>
  <c r="H28" i="17"/>
  <c r="K28" i="17"/>
  <c r="L28" i="17"/>
  <c r="M28" i="17"/>
  <c r="N28" i="17"/>
  <c r="O28" i="17"/>
  <c r="P28" i="17"/>
  <c r="Q28" i="17"/>
  <c r="R28" i="17"/>
  <c r="S28" i="17"/>
  <c r="K29" i="17"/>
  <c r="L29" i="17"/>
  <c r="M29" i="17"/>
  <c r="N29" i="17"/>
  <c r="O29" i="17"/>
  <c r="P29" i="17"/>
  <c r="Q29" i="17"/>
  <c r="R29" i="17"/>
  <c r="S29" i="17"/>
  <c r="K30" i="17"/>
  <c r="L30" i="17"/>
  <c r="M30" i="17"/>
  <c r="N30" i="17"/>
  <c r="O30" i="17"/>
  <c r="P30" i="17"/>
  <c r="Q30" i="17"/>
  <c r="R30" i="17"/>
  <c r="S30" i="17"/>
  <c r="K31" i="17"/>
  <c r="L31" i="17"/>
  <c r="M31" i="17"/>
  <c r="N31" i="17"/>
  <c r="O31" i="17"/>
  <c r="P31" i="17"/>
  <c r="Q31" i="17"/>
  <c r="R31" i="17"/>
  <c r="S31" i="17"/>
  <c r="H40" i="17"/>
  <c r="H41" i="17"/>
  <c r="H39" i="17"/>
  <c r="H38" i="17"/>
  <c r="K38" i="17"/>
  <c r="L38" i="17"/>
  <c r="M38" i="17"/>
  <c r="N38" i="17"/>
  <c r="O38" i="17"/>
  <c r="P38" i="17"/>
  <c r="Q38" i="17"/>
  <c r="R38" i="17"/>
  <c r="S38" i="17"/>
  <c r="K39" i="17"/>
  <c r="L39" i="17"/>
  <c r="M39" i="17"/>
  <c r="N39" i="17"/>
  <c r="O39" i="17"/>
  <c r="P39" i="17"/>
  <c r="Q39" i="17"/>
  <c r="R39" i="17"/>
  <c r="S39" i="17"/>
  <c r="K40" i="17"/>
  <c r="L40" i="17"/>
  <c r="M40" i="17"/>
  <c r="N40" i="17"/>
  <c r="O40" i="17"/>
  <c r="P40" i="17"/>
  <c r="Q40" i="17"/>
  <c r="R40" i="17"/>
  <c r="S40" i="17"/>
  <c r="K41" i="17"/>
  <c r="L41" i="17"/>
  <c r="M41" i="17"/>
  <c r="N41" i="17"/>
  <c r="O41" i="17"/>
  <c r="P41" i="17"/>
  <c r="Q41" i="17"/>
  <c r="R41" i="17"/>
  <c r="S41" i="17"/>
  <c r="S83" i="17"/>
  <c r="S84" i="17"/>
  <c r="S85" i="17"/>
  <c r="S86" i="17"/>
  <c r="S93" i="17"/>
  <c r="S94" i="17"/>
  <c r="S95" i="17"/>
  <c r="S96" i="17"/>
  <c r="S103" i="17"/>
  <c r="S104" i="17"/>
  <c r="S105" i="17"/>
  <c r="S106" i="17"/>
  <c r="S33" i="17"/>
  <c r="S34" i="17"/>
  <c r="S35" i="17"/>
  <c r="S36" i="17"/>
  <c r="S43" i="17"/>
  <c r="S44" i="17"/>
  <c r="S45" i="17"/>
  <c r="S46" i="17"/>
  <c r="S53" i="17"/>
  <c r="S54" i="17"/>
  <c r="S55" i="17"/>
  <c r="S56" i="17"/>
  <c r="S63" i="17"/>
  <c r="S64" i="17"/>
  <c r="S65" i="17"/>
  <c r="S66" i="17"/>
  <c r="S73" i="17"/>
  <c r="S74" i="17"/>
  <c r="S75" i="17"/>
  <c r="S76" i="17"/>
  <c r="S26" i="17"/>
  <c r="S25" i="17"/>
  <c r="S24" i="17"/>
  <c r="S23" i="17"/>
  <c r="H100" i="16"/>
  <c r="H101" i="16"/>
  <c r="H99" i="16"/>
  <c r="H90" i="16"/>
  <c r="H91" i="16"/>
  <c r="H89" i="16"/>
  <c r="H59" i="16"/>
  <c r="H69" i="16"/>
  <c r="H80" i="16"/>
  <c r="H81" i="16"/>
  <c r="H79" i="16"/>
  <c r="H70" i="16"/>
  <c r="H71" i="16"/>
  <c r="H60" i="16"/>
  <c r="H61" i="16"/>
  <c r="H50" i="16"/>
  <c r="H51" i="16"/>
  <c r="H49" i="16"/>
  <c r="H40" i="16"/>
  <c r="H41" i="16"/>
  <c r="H39" i="16"/>
  <c r="H30" i="16"/>
  <c r="H31" i="16"/>
  <c r="H29" i="16"/>
  <c r="H110" i="16"/>
  <c r="H111" i="16"/>
  <c r="H109" i="16"/>
  <c r="H108" i="16"/>
  <c r="J108" i="16"/>
  <c r="K108" i="16"/>
  <c r="L108" i="16"/>
  <c r="M108" i="16"/>
  <c r="N108" i="16"/>
  <c r="O108" i="16"/>
  <c r="P108" i="16"/>
  <c r="Q108" i="16"/>
  <c r="R108" i="16"/>
  <c r="S108" i="16"/>
  <c r="T108" i="16"/>
  <c r="U108" i="16"/>
  <c r="V108" i="16"/>
  <c r="W108" i="16"/>
  <c r="X108" i="16"/>
  <c r="Y108" i="16"/>
  <c r="J109" i="16"/>
  <c r="K109" i="16"/>
  <c r="L109" i="16"/>
  <c r="M109" i="16"/>
  <c r="N109" i="16"/>
  <c r="O109" i="16"/>
  <c r="P109" i="16"/>
  <c r="Q109" i="16"/>
  <c r="R109" i="16"/>
  <c r="S109" i="16"/>
  <c r="T109" i="16"/>
  <c r="U109" i="16"/>
  <c r="X109" i="16"/>
  <c r="Y109" i="16"/>
  <c r="J110" i="16"/>
  <c r="K110" i="16"/>
  <c r="L110" i="16"/>
  <c r="M110" i="16"/>
  <c r="N110" i="16"/>
  <c r="O110" i="16"/>
  <c r="P110" i="16"/>
  <c r="Q110" i="16"/>
  <c r="R110" i="16"/>
  <c r="S110" i="16"/>
  <c r="T110" i="16"/>
  <c r="U110" i="16"/>
  <c r="V110" i="16"/>
  <c r="W110" i="16"/>
  <c r="X110" i="16"/>
  <c r="Y110" i="16"/>
  <c r="J111" i="16"/>
  <c r="K111" i="16"/>
  <c r="L111" i="16"/>
  <c r="M111" i="16"/>
  <c r="N111" i="16"/>
  <c r="O111" i="16"/>
  <c r="P111" i="16"/>
  <c r="Q111" i="16"/>
  <c r="R111" i="16"/>
  <c r="S111" i="16"/>
  <c r="T111" i="16"/>
  <c r="U111" i="16"/>
  <c r="V111" i="16"/>
  <c r="W111" i="16"/>
  <c r="X111" i="16"/>
  <c r="Y111" i="16"/>
  <c r="I109" i="16"/>
  <c r="I110" i="16"/>
  <c r="I111" i="16"/>
  <c r="I108" i="16"/>
  <c r="H98" i="16"/>
  <c r="J98" i="16"/>
  <c r="K98" i="16"/>
  <c r="L98" i="16"/>
  <c r="M98" i="16"/>
  <c r="N98" i="16"/>
  <c r="O98" i="16"/>
  <c r="P98" i="16"/>
  <c r="Q98" i="16"/>
  <c r="R98" i="16"/>
  <c r="S98" i="16"/>
  <c r="T98" i="16"/>
  <c r="U98" i="16"/>
  <c r="V98" i="16"/>
  <c r="W98" i="16"/>
  <c r="X98" i="16"/>
  <c r="Y98" i="16"/>
  <c r="J99" i="16"/>
  <c r="K99" i="16"/>
  <c r="L99" i="16"/>
  <c r="M99" i="16"/>
  <c r="N99" i="16"/>
  <c r="O99" i="16"/>
  <c r="P99" i="16"/>
  <c r="Q99" i="16"/>
  <c r="R99" i="16"/>
  <c r="S99" i="16"/>
  <c r="T99" i="16"/>
  <c r="U99" i="16"/>
  <c r="V99" i="16"/>
  <c r="W99" i="16"/>
  <c r="X99" i="16"/>
  <c r="Y99" i="16"/>
  <c r="J100" i="16"/>
  <c r="K100" i="16"/>
  <c r="L100" i="16"/>
  <c r="M100" i="16"/>
  <c r="N100" i="16"/>
  <c r="O100" i="16"/>
  <c r="P100" i="16"/>
  <c r="Q100" i="16"/>
  <c r="R100" i="16"/>
  <c r="S100" i="16"/>
  <c r="T100" i="16"/>
  <c r="U100" i="16"/>
  <c r="V100" i="16"/>
  <c r="W100" i="16"/>
  <c r="X100" i="16"/>
  <c r="Y100" i="16"/>
  <c r="J101" i="16"/>
  <c r="K101" i="16"/>
  <c r="L101" i="16"/>
  <c r="M101" i="16"/>
  <c r="N101" i="16"/>
  <c r="O101" i="16"/>
  <c r="P101" i="16"/>
  <c r="Q101" i="16"/>
  <c r="R101" i="16"/>
  <c r="S101" i="16"/>
  <c r="T101" i="16"/>
  <c r="U101" i="16"/>
  <c r="V101" i="16"/>
  <c r="W101" i="16"/>
  <c r="X101" i="16"/>
  <c r="Y101" i="16"/>
  <c r="I99" i="16"/>
  <c r="I100" i="16"/>
  <c r="I101" i="16"/>
  <c r="I98" i="16"/>
  <c r="H88" i="16"/>
  <c r="J88" i="16"/>
  <c r="K88" i="16"/>
  <c r="L88" i="16"/>
  <c r="M88" i="16"/>
  <c r="N88" i="16"/>
  <c r="O88" i="16"/>
  <c r="P88" i="16"/>
  <c r="Q88" i="16"/>
  <c r="R88" i="16"/>
  <c r="S88" i="16"/>
  <c r="T88" i="16"/>
  <c r="U88" i="16"/>
  <c r="V88" i="16"/>
  <c r="W88" i="16"/>
  <c r="X88" i="16"/>
  <c r="Y88" i="16"/>
  <c r="J89" i="16"/>
  <c r="K89" i="16"/>
  <c r="L89" i="16"/>
  <c r="M89" i="16"/>
  <c r="N89" i="16"/>
  <c r="O89" i="16"/>
  <c r="P89" i="16"/>
  <c r="Q89" i="16"/>
  <c r="R89" i="16"/>
  <c r="S89" i="16"/>
  <c r="T89" i="16"/>
  <c r="U89" i="16"/>
  <c r="V89" i="16"/>
  <c r="W89" i="16"/>
  <c r="X89" i="16"/>
  <c r="Y89" i="16"/>
  <c r="J90" i="16"/>
  <c r="K90" i="16"/>
  <c r="L90" i="16"/>
  <c r="M90" i="16"/>
  <c r="N90" i="16"/>
  <c r="O90" i="16"/>
  <c r="P90" i="16"/>
  <c r="Q90" i="16"/>
  <c r="R90" i="16"/>
  <c r="S90" i="16"/>
  <c r="T90" i="16"/>
  <c r="U90" i="16"/>
  <c r="V90" i="16"/>
  <c r="W90" i="16"/>
  <c r="X90" i="16"/>
  <c r="Y90" i="16"/>
  <c r="J91" i="16"/>
  <c r="K91" i="16"/>
  <c r="L91" i="16"/>
  <c r="M91" i="16"/>
  <c r="N91" i="16"/>
  <c r="O91" i="16"/>
  <c r="P91" i="16"/>
  <c r="Q91" i="16"/>
  <c r="R91" i="16"/>
  <c r="S91" i="16"/>
  <c r="T91" i="16"/>
  <c r="U91" i="16"/>
  <c r="V91" i="16"/>
  <c r="W91" i="16"/>
  <c r="X91" i="16"/>
  <c r="Y91" i="16"/>
  <c r="I89" i="16"/>
  <c r="I90" i="16"/>
  <c r="I91" i="16"/>
  <c r="I88" i="16"/>
  <c r="H78" i="16"/>
  <c r="J78" i="16"/>
  <c r="K78" i="16"/>
  <c r="L78" i="16"/>
  <c r="M78" i="16"/>
  <c r="N78" i="16"/>
  <c r="O78" i="16"/>
  <c r="P78" i="16"/>
  <c r="Q78" i="16"/>
  <c r="R78" i="16"/>
  <c r="S78" i="16"/>
  <c r="T78" i="16"/>
  <c r="U78" i="16"/>
  <c r="V78" i="16"/>
  <c r="W78" i="16"/>
  <c r="X78" i="16"/>
  <c r="Y78" i="16"/>
  <c r="J79" i="16"/>
  <c r="K79" i="16"/>
  <c r="L79" i="16"/>
  <c r="M79" i="16"/>
  <c r="N79" i="16"/>
  <c r="O79" i="16"/>
  <c r="P79" i="16"/>
  <c r="Q79" i="16"/>
  <c r="R79" i="16"/>
  <c r="S79" i="16"/>
  <c r="T79" i="16"/>
  <c r="U79" i="16"/>
  <c r="V79" i="16"/>
  <c r="W79" i="16"/>
  <c r="X79" i="16"/>
  <c r="Y79" i="16"/>
  <c r="J80" i="16"/>
  <c r="K80" i="16"/>
  <c r="L80" i="16"/>
  <c r="M80" i="16"/>
  <c r="N80" i="16"/>
  <c r="O80" i="16"/>
  <c r="P80" i="16"/>
  <c r="Q80" i="16"/>
  <c r="R80" i="16"/>
  <c r="S80" i="16"/>
  <c r="T80" i="16"/>
  <c r="U80" i="16"/>
  <c r="V80" i="16"/>
  <c r="W80" i="16"/>
  <c r="X80" i="16"/>
  <c r="Y80" i="16"/>
  <c r="J81" i="16"/>
  <c r="K81" i="16"/>
  <c r="L81" i="16"/>
  <c r="M81" i="16"/>
  <c r="N81" i="16"/>
  <c r="O81" i="16"/>
  <c r="P81" i="16"/>
  <c r="Q81" i="16"/>
  <c r="R81" i="16"/>
  <c r="S81" i="16"/>
  <c r="T81" i="16"/>
  <c r="U81" i="16"/>
  <c r="V81" i="16"/>
  <c r="W81" i="16"/>
  <c r="X81" i="16"/>
  <c r="Y81" i="16"/>
  <c r="I79" i="16"/>
  <c r="I80" i="16"/>
  <c r="I81" i="16"/>
  <c r="I78" i="16"/>
  <c r="H68" i="16"/>
  <c r="O71" i="16"/>
  <c r="J68" i="16"/>
  <c r="K68" i="16"/>
  <c r="L68" i="16"/>
  <c r="M68" i="16"/>
  <c r="N68" i="16"/>
  <c r="O68" i="16"/>
  <c r="P68" i="16"/>
  <c r="Q68" i="16"/>
  <c r="R68" i="16"/>
  <c r="S68" i="16"/>
  <c r="T68" i="16"/>
  <c r="U68" i="16"/>
  <c r="V68" i="16"/>
  <c r="W68" i="16"/>
  <c r="X68" i="16"/>
  <c r="Y68" i="16"/>
  <c r="J69" i="16"/>
  <c r="K69" i="16"/>
  <c r="L69" i="16"/>
  <c r="M69" i="16"/>
  <c r="N69" i="16"/>
  <c r="O69" i="16"/>
  <c r="P69" i="16"/>
  <c r="Q69" i="16"/>
  <c r="R69" i="16"/>
  <c r="S69" i="16"/>
  <c r="T69" i="16"/>
  <c r="U69" i="16"/>
  <c r="V69" i="16"/>
  <c r="W69" i="16"/>
  <c r="X69" i="16"/>
  <c r="Y69" i="16"/>
  <c r="J70" i="16"/>
  <c r="K70" i="16"/>
  <c r="L70" i="16"/>
  <c r="M70" i="16"/>
  <c r="N70" i="16"/>
  <c r="O70" i="16"/>
  <c r="P70" i="16"/>
  <c r="Q70" i="16"/>
  <c r="R70" i="16"/>
  <c r="S70" i="16"/>
  <c r="T70" i="16"/>
  <c r="U70" i="16"/>
  <c r="V70" i="16"/>
  <c r="W70" i="16"/>
  <c r="X70" i="16"/>
  <c r="Y70" i="16"/>
  <c r="J71" i="16"/>
  <c r="K71" i="16"/>
  <c r="L71" i="16"/>
  <c r="M71" i="16"/>
  <c r="N71" i="16"/>
  <c r="P71" i="16"/>
  <c r="Q71" i="16"/>
  <c r="R71" i="16"/>
  <c r="S71" i="16"/>
  <c r="T71" i="16"/>
  <c r="U71" i="16"/>
  <c r="V71" i="16"/>
  <c r="W71" i="16"/>
  <c r="X71" i="16"/>
  <c r="Y71" i="16"/>
  <c r="I69" i="16"/>
  <c r="I70" i="16"/>
  <c r="I71" i="16"/>
  <c r="I68" i="16"/>
  <c r="H58" i="16"/>
  <c r="J58" i="16"/>
  <c r="K58" i="16"/>
  <c r="L58" i="16"/>
  <c r="M58" i="16"/>
  <c r="N58" i="16"/>
  <c r="O58" i="16"/>
  <c r="P58" i="16"/>
  <c r="Q58" i="16"/>
  <c r="R58" i="16"/>
  <c r="S58" i="16"/>
  <c r="T58" i="16"/>
  <c r="U58" i="16"/>
  <c r="V58" i="16"/>
  <c r="W58" i="16"/>
  <c r="X58" i="16"/>
  <c r="Y58" i="16"/>
  <c r="J59" i="16"/>
  <c r="K59" i="16"/>
  <c r="L59" i="16"/>
  <c r="M59" i="16"/>
  <c r="N59" i="16"/>
  <c r="O59" i="16"/>
  <c r="P59" i="16"/>
  <c r="Q59" i="16"/>
  <c r="R59" i="16"/>
  <c r="S59" i="16"/>
  <c r="T59" i="16"/>
  <c r="U59" i="16"/>
  <c r="V59" i="16"/>
  <c r="W59" i="16"/>
  <c r="X59" i="16"/>
  <c r="Y59" i="16"/>
  <c r="J60" i="16"/>
  <c r="K60" i="16"/>
  <c r="L60" i="16"/>
  <c r="M60" i="16"/>
  <c r="N60" i="16"/>
  <c r="O60" i="16"/>
  <c r="P60" i="16"/>
  <c r="Q60" i="16"/>
  <c r="R60" i="16"/>
  <c r="S60" i="16"/>
  <c r="T60" i="16"/>
  <c r="U60" i="16"/>
  <c r="V60" i="16"/>
  <c r="W60" i="16"/>
  <c r="X60" i="16"/>
  <c r="Y60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I59" i="16"/>
  <c r="I60" i="16"/>
  <c r="I61" i="16"/>
  <c r="I58" i="16"/>
  <c r="H48" i="16"/>
  <c r="I49" i="16"/>
  <c r="J49" i="16"/>
  <c r="K49" i="16"/>
  <c r="L49" i="16"/>
  <c r="M49" i="16"/>
  <c r="N49" i="16"/>
  <c r="O49" i="16"/>
  <c r="P49" i="16"/>
  <c r="Q49" i="16"/>
  <c r="R49" i="16"/>
  <c r="S49" i="16"/>
  <c r="T49" i="16"/>
  <c r="U49" i="16"/>
  <c r="V49" i="16"/>
  <c r="W49" i="16"/>
  <c r="X49" i="16"/>
  <c r="Y49" i="16"/>
  <c r="I50" i="16"/>
  <c r="J50" i="16"/>
  <c r="K50" i="16"/>
  <c r="L50" i="16"/>
  <c r="M50" i="16"/>
  <c r="N50" i="16"/>
  <c r="O50" i="16"/>
  <c r="P50" i="16"/>
  <c r="Q50" i="16"/>
  <c r="R50" i="16"/>
  <c r="S50" i="16"/>
  <c r="T50" i="16"/>
  <c r="U50" i="16"/>
  <c r="V50" i="16"/>
  <c r="W50" i="16"/>
  <c r="X50" i="16"/>
  <c r="Y50" i="16"/>
  <c r="I51" i="16"/>
  <c r="J51" i="16"/>
  <c r="K51" i="16"/>
  <c r="L51" i="16"/>
  <c r="M51" i="16"/>
  <c r="N51" i="16"/>
  <c r="O51" i="16"/>
  <c r="P51" i="16"/>
  <c r="Q51" i="16"/>
  <c r="R51" i="16"/>
  <c r="S51" i="16"/>
  <c r="T51" i="16"/>
  <c r="U51" i="16"/>
  <c r="V51" i="16"/>
  <c r="W51" i="16"/>
  <c r="X51" i="16"/>
  <c r="Y51" i="16"/>
  <c r="J48" i="16"/>
  <c r="K48" i="16"/>
  <c r="L48" i="16"/>
  <c r="M48" i="16"/>
  <c r="N48" i="16"/>
  <c r="O48" i="16"/>
  <c r="P48" i="16"/>
  <c r="Q48" i="16"/>
  <c r="R48" i="16"/>
  <c r="S48" i="16"/>
  <c r="T48" i="16"/>
  <c r="U48" i="16"/>
  <c r="V48" i="16"/>
  <c r="W48" i="16"/>
  <c r="X48" i="16"/>
  <c r="Y48" i="16"/>
  <c r="I48" i="16"/>
  <c r="T40" i="16"/>
  <c r="H38" i="16"/>
  <c r="Y41" i="16"/>
  <c r="Y39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J39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J40" i="16"/>
  <c r="K40" i="16"/>
  <c r="L40" i="16"/>
  <c r="M40" i="16"/>
  <c r="N40" i="16"/>
  <c r="O40" i="16"/>
  <c r="P40" i="16"/>
  <c r="Q40" i="16"/>
  <c r="R40" i="16"/>
  <c r="S40" i="16"/>
  <c r="U40" i="16"/>
  <c r="V40" i="16"/>
  <c r="W40" i="16"/>
  <c r="X40" i="16"/>
  <c r="Y40" i="16"/>
  <c r="J41" i="16"/>
  <c r="K41" i="16"/>
  <c r="L41" i="16"/>
  <c r="M41" i="16"/>
  <c r="N41" i="16"/>
  <c r="O41" i="16"/>
  <c r="P41" i="16"/>
  <c r="Q41" i="16"/>
  <c r="R41" i="16"/>
  <c r="S41" i="16"/>
  <c r="T41" i="16"/>
  <c r="U41" i="16"/>
  <c r="V41" i="16"/>
  <c r="W41" i="16"/>
  <c r="X41" i="16"/>
  <c r="I39" i="16"/>
  <c r="I40" i="16"/>
  <c r="I41" i="16"/>
  <c r="I38" i="16"/>
  <c r="I28" i="16"/>
  <c r="Q29" i="16"/>
  <c r="R29" i="16"/>
  <c r="S29" i="16"/>
  <c r="T29" i="16"/>
  <c r="U29" i="16"/>
  <c r="V29" i="16"/>
  <c r="W29" i="16"/>
  <c r="X29" i="16"/>
  <c r="Y29" i="16"/>
  <c r="Q30" i="16"/>
  <c r="R30" i="16"/>
  <c r="S30" i="16"/>
  <c r="T30" i="16"/>
  <c r="U30" i="16"/>
  <c r="V30" i="16"/>
  <c r="W30" i="16"/>
  <c r="X30" i="16"/>
  <c r="Y30" i="16"/>
  <c r="Q31" i="16"/>
  <c r="R31" i="16"/>
  <c r="S31" i="16"/>
  <c r="T31" i="16"/>
  <c r="U31" i="16"/>
  <c r="V31" i="16"/>
  <c r="W31" i="16"/>
  <c r="X31" i="16"/>
  <c r="Y31" i="16"/>
  <c r="Y28" i="16"/>
  <c r="Q28" i="16"/>
  <c r="R28" i="16"/>
  <c r="S28" i="16"/>
  <c r="T28" i="16"/>
  <c r="U28" i="16"/>
  <c r="V28" i="16"/>
  <c r="W28" i="16"/>
  <c r="X28" i="16"/>
  <c r="I29" i="16"/>
  <c r="J29" i="16"/>
  <c r="K29" i="16"/>
  <c r="L29" i="16"/>
  <c r="M29" i="16"/>
  <c r="N29" i="16"/>
  <c r="O29" i="16"/>
  <c r="P29" i="16"/>
  <c r="I30" i="16"/>
  <c r="J30" i="16"/>
  <c r="K30" i="16"/>
  <c r="L30" i="16"/>
  <c r="M30" i="16"/>
  <c r="N30" i="16"/>
  <c r="O30" i="16"/>
  <c r="P30" i="16"/>
  <c r="I31" i="16"/>
  <c r="J31" i="16"/>
  <c r="K31" i="16"/>
  <c r="L31" i="16"/>
  <c r="M31" i="16"/>
  <c r="N31" i="16"/>
  <c r="O31" i="16"/>
  <c r="P31" i="16"/>
  <c r="J28" i="16"/>
  <c r="K28" i="16"/>
  <c r="L28" i="16"/>
  <c r="M28" i="16"/>
  <c r="N28" i="16"/>
  <c r="O28" i="16"/>
  <c r="P28" i="16"/>
  <c r="G28" i="7"/>
  <c r="G29" i="7"/>
  <c r="G30" i="7"/>
  <c r="G31" i="7" s="1"/>
  <c r="G33" i="7"/>
  <c r="G34" i="7"/>
  <c r="G35" i="7" s="1"/>
  <c r="G36" i="7" s="1"/>
  <c r="G38" i="7"/>
  <c r="G39" i="7"/>
  <c r="G40" i="7"/>
  <c r="G41" i="7"/>
  <c r="G43" i="7"/>
  <c r="G44" i="7"/>
  <c r="G45" i="7"/>
  <c r="G46" i="7"/>
  <c r="G48" i="7"/>
  <c r="G49" i="7"/>
  <c r="G50" i="7"/>
  <c r="G51" i="7"/>
  <c r="G53" i="7"/>
  <c r="G54" i="7"/>
  <c r="G55" i="7"/>
  <c r="G56" i="7"/>
  <c r="G58" i="7"/>
  <c r="G59" i="7"/>
  <c r="G60" i="7"/>
  <c r="G61" i="7"/>
  <c r="G63" i="7"/>
  <c r="G64" i="7"/>
  <c r="G65" i="7"/>
  <c r="G66" i="7"/>
  <c r="G26" i="7"/>
  <c r="G25" i="7"/>
  <c r="G24" i="7"/>
  <c r="G23" i="7"/>
  <c r="G38" i="5"/>
  <c r="G39" i="5"/>
  <c r="G40" i="5"/>
  <c r="G41" i="5" s="1"/>
  <c r="G43" i="5"/>
  <c r="G44" i="5"/>
  <c r="G45" i="5"/>
  <c r="G46" i="5" s="1"/>
  <c r="G48" i="5"/>
  <c r="G49" i="5"/>
  <c r="G50" i="5"/>
  <c r="G51" i="5" s="1"/>
  <c r="G53" i="5"/>
  <c r="G54" i="5"/>
  <c r="G55" i="5"/>
  <c r="G56" i="5"/>
  <c r="G58" i="5"/>
  <c r="G59" i="5"/>
  <c r="G60" i="5"/>
  <c r="G61" i="5" s="1"/>
  <c r="G63" i="5"/>
  <c r="G33" i="5"/>
  <c r="G34" i="5"/>
  <c r="G35" i="5"/>
  <c r="G36" i="5" s="1"/>
  <c r="G28" i="5"/>
  <c r="G29" i="5"/>
  <c r="G30" i="5"/>
  <c r="G31" i="5" s="1"/>
  <c r="G24" i="5"/>
  <c r="G25" i="5"/>
  <c r="G26" i="5" s="1"/>
  <c r="G23" i="5"/>
  <c r="G29" i="1"/>
  <c r="G30" i="1"/>
  <c r="G31" i="1"/>
  <c r="G32" i="1"/>
  <c r="G28" i="1"/>
  <c r="G19" i="1"/>
  <c r="G20" i="1"/>
  <c r="G21" i="1"/>
  <c r="G22" i="1"/>
  <c r="G23" i="1"/>
  <c r="G24" i="1"/>
  <c r="G25" i="1"/>
  <c r="G26" i="1"/>
  <c r="G18" i="1"/>
</calcChain>
</file>

<file path=xl/sharedStrings.xml><?xml version="1.0" encoding="utf-8"?>
<sst xmlns="http://schemas.openxmlformats.org/spreadsheetml/2006/main" count="1856" uniqueCount="648">
  <si>
    <t>Комитет по физической культуре и спорту при Совете Министров СССР</t>
  </si>
  <si>
    <t>Комитет по физической культуре и спорту при Совете Министров Латвийской ССР</t>
  </si>
  <si>
    <t>Группа А</t>
  </si>
  <si>
    <t>СВОДНЫЙ ПРОТОКОЛ</t>
  </si>
  <si>
    <t>результатов соревнований</t>
  </si>
  <si>
    <t>19-21 августа 1983 г</t>
  </si>
  <si>
    <t>Команда</t>
  </si>
  <si>
    <t>Очки командного первенства</t>
  </si>
  <si>
    <t>М21</t>
  </si>
  <si>
    <t>Латвийская ССР</t>
  </si>
  <si>
    <t>I</t>
  </si>
  <si>
    <t>Литовская ССР</t>
  </si>
  <si>
    <t>Эстонская ССР</t>
  </si>
  <si>
    <t>Ленинград</t>
  </si>
  <si>
    <t>Украинская ССР</t>
  </si>
  <si>
    <t>25</t>
  </si>
  <si>
    <t>Белорусская ССР</t>
  </si>
  <si>
    <t>28</t>
  </si>
  <si>
    <t>Москва</t>
  </si>
  <si>
    <t>30</t>
  </si>
  <si>
    <t>31</t>
  </si>
  <si>
    <t>Группа Б</t>
  </si>
  <si>
    <t>Молдавская ССР</t>
  </si>
  <si>
    <t>Киргизская ССР</t>
  </si>
  <si>
    <t>Казахская ССР</t>
  </si>
  <si>
    <t>Азербайджан.ССР</t>
  </si>
  <si>
    <t>Грузинская ССР</t>
  </si>
  <si>
    <t>24</t>
  </si>
  <si>
    <t>Туркменская ССР</t>
  </si>
  <si>
    <t>Главный судья</t>
  </si>
  <si>
    <t>Главный секретарь</t>
  </si>
  <si>
    <t>III ЧЕМПИОНАТ СССР</t>
  </si>
  <si>
    <t>по спортивному ориентированию</t>
  </si>
  <si>
    <t>№ п/п</t>
  </si>
  <si>
    <t>Место</t>
  </si>
  <si>
    <t>Сумма очков</t>
  </si>
  <si>
    <t>В заданном направлении</t>
  </si>
  <si>
    <t>В эстафете</t>
  </si>
  <si>
    <t>Ж21</t>
  </si>
  <si>
    <t>РСФСР-2</t>
  </si>
  <si>
    <t>РСФСР-1</t>
  </si>
  <si>
    <t>-</t>
  </si>
  <si>
    <t>А. Озолишьн (СВК)</t>
  </si>
  <si>
    <t>Л. Авота (СРК)</t>
  </si>
  <si>
    <t>207</t>
  </si>
  <si>
    <t>Латв.ССР</t>
  </si>
  <si>
    <t>161</t>
  </si>
  <si>
    <t>Сайтеев Анатолий</t>
  </si>
  <si>
    <t>163</t>
  </si>
  <si>
    <t>Халдна Лехо</t>
  </si>
  <si>
    <t>Эст.ССР</t>
  </si>
  <si>
    <t>209</t>
  </si>
  <si>
    <t>Бортник Василий</t>
  </si>
  <si>
    <t>159</t>
  </si>
  <si>
    <t>Лит.ССР</t>
  </si>
  <si>
    <t>171</t>
  </si>
  <si>
    <t>Пейланс Индулис</t>
  </si>
  <si>
    <t>205</t>
  </si>
  <si>
    <t>Страутниекс Марис</t>
  </si>
  <si>
    <t>189</t>
  </si>
  <si>
    <t>165</t>
  </si>
  <si>
    <t>139</t>
  </si>
  <si>
    <t>187</t>
  </si>
  <si>
    <t>141</t>
  </si>
  <si>
    <t>185</t>
  </si>
  <si>
    <t>Укр.ССР</t>
  </si>
  <si>
    <t>181</t>
  </si>
  <si>
    <t>195</t>
  </si>
  <si>
    <t>157</t>
  </si>
  <si>
    <t>Кириченко Сергей</t>
  </si>
  <si>
    <t>203</t>
  </si>
  <si>
    <t>Левичев Александр</t>
  </si>
  <si>
    <t>191</t>
  </si>
  <si>
    <t>117</t>
  </si>
  <si>
    <t>22</t>
  </si>
  <si>
    <t>Розум Сергей</t>
  </si>
  <si>
    <t>167</t>
  </si>
  <si>
    <t>23</t>
  </si>
  <si>
    <t>МС</t>
  </si>
  <si>
    <t>149</t>
  </si>
  <si>
    <t>Сотников Виктор</t>
  </si>
  <si>
    <t>175</t>
  </si>
  <si>
    <t>Натальевич Вячеслав</t>
  </si>
  <si>
    <t>Бел.ССР</t>
  </si>
  <si>
    <t>129</t>
  </si>
  <si>
    <t>26</t>
  </si>
  <si>
    <t>Лейбомс Айгарс</t>
  </si>
  <si>
    <t>135</t>
  </si>
  <si>
    <t>27</t>
  </si>
  <si>
    <t>131</t>
  </si>
  <si>
    <t>127</t>
  </si>
  <si>
    <t>29</t>
  </si>
  <si>
    <t>151</t>
  </si>
  <si>
    <t>Алексеев Владимир</t>
  </si>
  <si>
    <t>169</t>
  </si>
  <si>
    <t>177</t>
  </si>
  <si>
    <t>32</t>
  </si>
  <si>
    <t>Усенко Сергей</t>
  </si>
  <si>
    <t>115</t>
  </si>
  <si>
    <t>33</t>
  </si>
  <si>
    <t>Правило Валентин</t>
  </si>
  <si>
    <t>173</t>
  </si>
  <si>
    <t>34</t>
  </si>
  <si>
    <t>133</t>
  </si>
  <si>
    <t>35</t>
  </si>
  <si>
    <t>153</t>
  </si>
  <si>
    <t>36</t>
  </si>
  <si>
    <t>Багочюнас Саулюс</t>
  </si>
  <si>
    <t>193</t>
  </si>
  <si>
    <t>37</t>
  </si>
  <si>
    <t>ИЗ</t>
  </si>
  <si>
    <t>38</t>
  </si>
  <si>
    <t>155</t>
  </si>
  <si>
    <t>Афонюшкин Александр</t>
  </si>
  <si>
    <t>40</t>
  </si>
  <si>
    <t>Туленков Михаил</t>
  </si>
  <si>
    <t>109</t>
  </si>
  <si>
    <t>41</t>
  </si>
  <si>
    <t>Крылов Анатолий</t>
  </si>
  <si>
    <t>119</t>
  </si>
  <si>
    <t>42</t>
  </si>
  <si>
    <t>105</t>
  </si>
  <si>
    <t>43</t>
  </si>
  <si>
    <t>147</t>
  </si>
  <si>
    <t>44</t>
  </si>
  <si>
    <t>Тюленев Александр</t>
  </si>
  <si>
    <t>45</t>
  </si>
  <si>
    <t>Белов Анатолий</t>
  </si>
  <si>
    <t>197</t>
  </si>
  <si>
    <t>46</t>
  </si>
  <si>
    <t>121</t>
  </si>
  <si>
    <t>47</t>
  </si>
  <si>
    <t>Киселев Андрей</t>
  </si>
  <si>
    <t>101</t>
  </si>
  <si>
    <t>137</t>
  </si>
  <si>
    <t>49</t>
  </si>
  <si>
    <t>Грязневич Михаил</t>
  </si>
  <si>
    <t>125</t>
  </si>
  <si>
    <t>50</t>
  </si>
  <si>
    <t>ПРОТОКОЛ РЕЗУЛЬТАТОВ СОРЕВНОВАНИЙ</t>
  </si>
  <si>
    <t>по ориентированию в заданном напрвлении</t>
  </si>
  <si>
    <t>19 августа 1983 г</t>
  </si>
  <si>
    <t>г. Цесис, Латвийская ССР</t>
  </si>
  <si>
    <t>Длина дистанции: 12,86км</t>
  </si>
  <si>
    <t>Количество КП: 19</t>
  </si>
  <si>
    <t>Контрольное время: 2 часа 30 минут</t>
  </si>
  <si>
    <t>Начальник дистанции: Магонс К. (СРК)</t>
  </si>
  <si>
    <t>Група М21А</t>
  </si>
  <si>
    <t>Фамилия, имя</t>
  </si>
  <si>
    <t>№ участника</t>
  </si>
  <si>
    <t>Результат</t>
  </si>
  <si>
    <t>Квалификация</t>
  </si>
  <si>
    <t>Выполненный разряд</t>
  </si>
  <si>
    <t>Новожилов Сергей</t>
  </si>
  <si>
    <t>Гипслис Янис</t>
  </si>
  <si>
    <t>Кукянис Егидиюс</t>
  </si>
  <si>
    <t>Ярвеоя Николай</t>
  </si>
  <si>
    <t>Кивлениекс Андрис</t>
  </si>
  <si>
    <t>Каннумяэ Урмас</t>
  </si>
  <si>
    <t>Прокофьев Борис</t>
  </si>
  <si>
    <t>Зорин Михаил</t>
  </si>
  <si>
    <t>Семенов Сергей</t>
  </si>
  <si>
    <t>Стукан Виктор</t>
  </si>
  <si>
    <t>Шафиков Равиль</t>
  </si>
  <si>
    <t>Захаров Игорь</t>
  </si>
  <si>
    <t>Лимбенс Илмарс</t>
  </si>
  <si>
    <t>Луук Калле</t>
  </si>
  <si>
    <t>Лат.ССР (л)</t>
  </si>
  <si>
    <t>РСФСР (л)</t>
  </si>
  <si>
    <t>КМС</t>
  </si>
  <si>
    <t>Шлейнерс Дайнис</t>
  </si>
  <si>
    <t>Драудвила Альгимантас</t>
  </si>
  <si>
    <t>Вышкварко Алексей</t>
  </si>
  <si>
    <t>Гипас Витаутас</t>
  </si>
  <si>
    <t>Яковкин Игорь</t>
  </si>
  <si>
    <t>Глушко Александр</t>
  </si>
  <si>
    <t>Пауст Юрий</t>
  </si>
  <si>
    <t>Лавренюк Михаил</t>
  </si>
  <si>
    <t>Кивикас Арво</t>
  </si>
  <si>
    <t>Ишмухаметов Инсаф</t>
  </si>
  <si>
    <t>Пташекас Юлюс</t>
  </si>
  <si>
    <t>Юмарик Индрек</t>
  </si>
  <si>
    <t>Партала Александр</t>
  </si>
  <si>
    <t>Алексеёнок Алексей</t>
  </si>
  <si>
    <t>Укр.ССР (л)</t>
  </si>
  <si>
    <t>Латв.ССР (л)</t>
  </si>
  <si>
    <t>Эст.ССР (л)</t>
  </si>
  <si>
    <t>Класс дистанции ВС</t>
  </si>
  <si>
    <t>Ранг соревнований 1000 баллов</t>
  </si>
  <si>
    <t>МС 1-15 место</t>
  </si>
  <si>
    <t>КМС 126% 1:34:29</t>
  </si>
  <si>
    <t>208</t>
  </si>
  <si>
    <t>164</t>
  </si>
  <si>
    <t>162</t>
  </si>
  <si>
    <t>142</t>
  </si>
  <si>
    <t>196</t>
  </si>
  <si>
    <t>192</t>
  </si>
  <si>
    <t>186</t>
  </si>
  <si>
    <t>150</t>
  </si>
  <si>
    <t>176</t>
  </si>
  <si>
    <t>124</t>
  </si>
  <si>
    <t>158</t>
  </si>
  <si>
    <t>148</t>
  </si>
  <si>
    <t>198</t>
  </si>
  <si>
    <t>112</t>
  </si>
  <si>
    <t>184</t>
  </si>
  <si>
    <t>156</t>
  </si>
  <si>
    <t>152</t>
  </si>
  <si>
    <t>194</t>
  </si>
  <si>
    <t>206</t>
  </si>
  <si>
    <t>170</t>
  </si>
  <si>
    <t>Длина дистанции: 7,43км</t>
  </si>
  <si>
    <t>Количество КП: 11</t>
  </si>
  <si>
    <t>Начальник дистанции: Магонс К. (СРК), Шлапекс Ю.</t>
  </si>
  <si>
    <t>Група Ж21А</t>
  </si>
  <si>
    <t>Зукуле Алида</t>
  </si>
  <si>
    <t>Романовека Лилия</t>
  </si>
  <si>
    <t>Богданова Любовь</t>
  </si>
  <si>
    <t>Киудорв Анне</t>
  </si>
  <si>
    <t>Левичева Надежда</t>
  </si>
  <si>
    <t>Степанова Ирина</t>
  </si>
  <si>
    <t>Кузьмина Галина</t>
  </si>
  <si>
    <t>Рейтере Лига</t>
  </si>
  <si>
    <t>Березина Светлана</t>
  </si>
  <si>
    <t>Валдмане Вита</t>
  </si>
  <si>
    <t>Корягина Екатерина</t>
  </si>
  <si>
    <t>Алеева Ирина</t>
  </si>
  <si>
    <t>Кириченко Елена</t>
  </si>
  <si>
    <t>Намовира Ирина</t>
  </si>
  <si>
    <t>Вилькялене Дануте</t>
  </si>
  <si>
    <t>Габране Сармите</t>
  </si>
  <si>
    <t>Романюк Татьяна</t>
  </si>
  <si>
    <t>Оша Ивета</t>
  </si>
  <si>
    <t>Анашова Иоланта</t>
  </si>
  <si>
    <t>Кокоревича Ренате</t>
  </si>
  <si>
    <t>Вийрман Марье</t>
  </si>
  <si>
    <t>Багочюнене Иоланта</t>
  </si>
  <si>
    <t>132</t>
  </si>
  <si>
    <t>118</t>
  </si>
  <si>
    <t>174</t>
  </si>
  <si>
    <t>106</t>
  </si>
  <si>
    <t>130</t>
  </si>
  <si>
    <t>172</t>
  </si>
  <si>
    <t>140</t>
  </si>
  <si>
    <t>104</t>
  </si>
  <si>
    <t>126</t>
  </si>
  <si>
    <t>182</t>
  </si>
  <si>
    <t>114</t>
  </si>
  <si>
    <t>146</t>
  </si>
  <si>
    <t>136</t>
  </si>
  <si>
    <t>134</t>
  </si>
  <si>
    <t>180</t>
  </si>
  <si>
    <t>138</t>
  </si>
  <si>
    <t>166</t>
  </si>
  <si>
    <t>160</t>
  </si>
  <si>
    <t>116</t>
  </si>
  <si>
    <t>202</t>
  </si>
  <si>
    <t>102</t>
  </si>
  <si>
    <t>204</t>
  </si>
  <si>
    <t>128</t>
  </si>
  <si>
    <t>144</t>
  </si>
  <si>
    <t>210</t>
  </si>
  <si>
    <t>122</t>
  </si>
  <si>
    <t>Юмарик Эде</t>
  </si>
  <si>
    <t>Лалыко Алла</t>
  </si>
  <si>
    <t>Малыгина Надежда</t>
  </si>
  <si>
    <t>Иохансон Рию</t>
  </si>
  <si>
    <t>Глаголева Ольга</t>
  </si>
  <si>
    <t>Блинова Ольга</t>
  </si>
  <si>
    <t>Леканова Нина</t>
  </si>
  <si>
    <t>Икамайте Виргиния</t>
  </si>
  <si>
    <t>Олексин Лидия</t>
  </si>
  <si>
    <t>Юрьева Надежда</t>
  </si>
  <si>
    <t>Тимма Даце</t>
  </si>
  <si>
    <t>Изотова Ирина</t>
  </si>
  <si>
    <t>Брувере Ивета</t>
  </si>
  <si>
    <t>Рак Татьяна</t>
  </si>
  <si>
    <t>Куликова Надежда</t>
  </si>
  <si>
    <t>Зазуляк Галина</t>
  </si>
  <si>
    <t>Кадышева Татьяна</t>
  </si>
  <si>
    <t>Крылова Галина</t>
  </si>
  <si>
    <t>Горелая Ирина</t>
  </si>
  <si>
    <t>Зверкина Ирина</t>
  </si>
  <si>
    <t>Алецкая Наталья</t>
  </si>
  <si>
    <t>Красовская Ирина</t>
  </si>
  <si>
    <t>Парамычина Светлана</t>
  </si>
  <si>
    <t>Каазик Керсти</t>
  </si>
  <si>
    <t>Вершинскиене Нийоле</t>
  </si>
  <si>
    <t>Клевитская Людмила</t>
  </si>
  <si>
    <t>Бердицкая Александра</t>
  </si>
  <si>
    <t>Глазова Татьяна</t>
  </si>
  <si>
    <t>Бутылицина Светлана</t>
  </si>
  <si>
    <t>КМС 126% 1:08:02</t>
  </si>
  <si>
    <t>20 августа 1983 г</t>
  </si>
  <si>
    <t>по эстафете с ориентированием в заданном напрвлении</t>
  </si>
  <si>
    <t>Длина дистанции: 8,3-9,5км</t>
  </si>
  <si>
    <t>Количество КП: 17</t>
  </si>
  <si>
    <t>Контрольное время одного этапа 2 часа</t>
  </si>
  <si>
    <t>Контрольное время команды 6 часов</t>
  </si>
  <si>
    <t>Начальник дистанции: Кукк В. (СРК), Завицкис А. (СРК)</t>
  </si>
  <si>
    <t>Время на этапе</t>
  </si>
  <si>
    <t>Время команды</t>
  </si>
  <si>
    <t>Очки</t>
  </si>
  <si>
    <t>снят п.п. 5.1.6</t>
  </si>
  <si>
    <t>Класс дистанции МС</t>
  </si>
  <si>
    <t>Ранг соревнований 500 баллов</t>
  </si>
  <si>
    <t>МС 1-3 место</t>
  </si>
  <si>
    <t>КМС 117% 4:39:12</t>
  </si>
  <si>
    <t>417</t>
  </si>
  <si>
    <t>212</t>
  </si>
  <si>
    <t>218</t>
  </si>
  <si>
    <t>Ранг соревнований 482,5 балла</t>
  </si>
  <si>
    <t>КМС 114% 3:52:52</t>
  </si>
  <si>
    <t>Длина дистанции: 5,4+6,3км</t>
  </si>
  <si>
    <t>Контрольное время одного этапа 1,5 часа</t>
  </si>
  <si>
    <t>Контрольное время команды 5 часов</t>
  </si>
  <si>
    <t>Начальник дистанции: Завицкис А. (СРК), Лейкартс Ю. (СРК)</t>
  </si>
  <si>
    <t>21 августа 1983 г</t>
  </si>
  <si>
    <t>Длина дистанции: 6,82км</t>
  </si>
  <si>
    <t>Количество КП: 16</t>
  </si>
  <si>
    <t>Контрольное время: -</t>
  </si>
  <si>
    <t>Начальник дистанции: Зиединьш В. (СРК), Упацерс Г. (сIк)</t>
  </si>
  <si>
    <t>Група Ж21</t>
  </si>
  <si>
    <t>Кокаревича Ренате</t>
  </si>
  <si>
    <t>Романовска Лилия</t>
  </si>
  <si>
    <t>Киудоров Анне</t>
  </si>
  <si>
    <t>РСФСР</t>
  </si>
  <si>
    <t>Молд.ССР</t>
  </si>
  <si>
    <t>Кирг.ССР</t>
  </si>
  <si>
    <t>Вийрманн Марье</t>
  </si>
  <si>
    <t>Парамыгина Светлана</t>
  </si>
  <si>
    <t>Чебоненко Ольга</t>
  </si>
  <si>
    <t>Мазурук Наталья</t>
  </si>
  <si>
    <t>Йохансон Рию</t>
  </si>
  <si>
    <t>Чернышова Наталья</t>
  </si>
  <si>
    <t>Ранг соревнований 930 баллов</t>
  </si>
  <si>
    <t>КМС 123% 1:23:38</t>
  </si>
  <si>
    <t>107</t>
  </si>
  <si>
    <t>179</t>
  </si>
  <si>
    <t>НО</t>
  </si>
  <si>
    <t>200</t>
  </si>
  <si>
    <t>Длина дистанции:11,96км</t>
  </si>
  <si>
    <t>Количество КП: 23</t>
  </si>
  <si>
    <t>Начальник дистанции: Зиединьш В. (СРК), Цебулис Ю. (сIк)</t>
  </si>
  <si>
    <t>Група М21</t>
  </si>
  <si>
    <t>188</t>
  </si>
  <si>
    <t>215</t>
  </si>
  <si>
    <t>143</t>
  </si>
  <si>
    <t>Снят п.п. 5.1.6</t>
  </si>
  <si>
    <t>Симакин Сергей</t>
  </si>
  <si>
    <t>Кузьмин Иван</t>
  </si>
  <si>
    <t>Наталевич Вячеслав</t>
  </si>
  <si>
    <t>Шлейнеро Дэйвис</t>
  </si>
  <si>
    <t>Полуэктов Игорь</t>
  </si>
  <si>
    <t>Нифонтьев Юрий</t>
  </si>
  <si>
    <t>Святкин Михаил</t>
  </si>
  <si>
    <t>Дрэудвила Альгамантис</t>
  </si>
  <si>
    <t>Мазурук Александр</t>
  </si>
  <si>
    <t>КМС 123% 1:45:38</t>
  </si>
  <si>
    <t>42КП</t>
  </si>
  <si>
    <t>48КП</t>
  </si>
  <si>
    <t>57КП</t>
  </si>
  <si>
    <t>72КП</t>
  </si>
  <si>
    <t>100КП</t>
  </si>
  <si>
    <t>ФИНИШ</t>
  </si>
  <si>
    <t>не был</t>
  </si>
  <si>
    <t>71КП</t>
  </si>
  <si>
    <t>49КП</t>
  </si>
  <si>
    <t>Рассев</t>
  </si>
  <si>
    <t>Длина</t>
  </si>
  <si>
    <t>A-F-J-O</t>
  </si>
  <si>
    <t>B-G-K-M</t>
  </si>
  <si>
    <t>C-H-L-N</t>
  </si>
  <si>
    <t>D-E-I-P</t>
  </si>
  <si>
    <t>A-E-I-M</t>
  </si>
  <si>
    <t>B-F-J-N</t>
  </si>
  <si>
    <t>C-G-K-O</t>
  </si>
  <si>
    <t>D-H-L-P</t>
  </si>
  <si>
    <t>8,895/17,760</t>
  </si>
  <si>
    <t>8,805/26,565</t>
  </si>
  <si>
    <t>8,625/35,190</t>
  </si>
  <si>
    <t>D-F-J-N</t>
  </si>
  <si>
    <t>A-G-K-O</t>
  </si>
  <si>
    <t>B-H-L-M</t>
  </si>
  <si>
    <t>C-E-I-P</t>
  </si>
  <si>
    <t>B-E-I-M</t>
  </si>
  <si>
    <t>C-F-J-N</t>
  </si>
  <si>
    <t>D-G-K-O</t>
  </si>
  <si>
    <t>A-H-L-P</t>
  </si>
  <si>
    <t>D-H-L-M</t>
  </si>
  <si>
    <t>A-E-I-N</t>
  </si>
  <si>
    <t>B-F-J-P</t>
  </si>
  <si>
    <t>B-H-L-N</t>
  </si>
  <si>
    <t>D-F-J-M</t>
  </si>
  <si>
    <t>A-G-K-P</t>
  </si>
  <si>
    <t>C-H-L-O</t>
  </si>
  <si>
    <t>D-E-I-M</t>
  </si>
  <si>
    <t>A-F-J-N</t>
  </si>
  <si>
    <t>B-G-K-P</t>
  </si>
  <si>
    <t>D-G-K-M</t>
  </si>
  <si>
    <t>A-H-L-N-</t>
  </si>
  <si>
    <t>B-E-I-O</t>
  </si>
  <si>
    <t>C-F-J-P</t>
  </si>
  <si>
    <t>A-G-K-N</t>
  </si>
  <si>
    <t>B-H-L-O</t>
  </si>
  <si>
    <t>C-E-I-M</t>
  </si>
  <si>
    <t>D-F-J-P</t>
  </si>
  <si>
    <t>8,760/17,865</t>
  </si>
  <si>
    <t>8,740/26.605</t>
  </si>
  <si>
    <t>8,585/35,190</t>
  </si>
  <si>
    <t>31-38-40-42-43-44-47-48-52-56-57-60-62-64-67-72-100</t>
  </si>
  <si>
    <t>32-37-41-42-43-44-46-48-51-55-57-58-62-65-70-72-100</t>
  </si>
  <si>
    <t>33-39-41-42-44-45-46-48-50-56-57-59-62-66-69-72-100</t>
  </si>
  <si>
    <t>34-36-40-42-43-45-47-48-54-55-57-60-63-66-69-72-100</t>
  </si>
  <si>
    <t>31-38-40-42-43-45-47-48-54-55-57-58-62-65-70-72-100</t>
  </si>
  <si>
    <t>32-37-41-42-43-44-47-48-52-56-57-59-62-66-69-72-100</t>
  </si>
  <si>
    <t>33-39-41-42-43-44-46-48-51-55-57-60-62-64-67-72-100</t>
  </si>
  <si>
    <t>34-36-40-42-44-45-46-48-50-56-57-60-63-66-69-72-100</t>
  </si>
  <si>
    <t>34-36-40-42-43-44-47-48-52-56-57-59-62-66-69-72-100</t>
  </si>
  <si>
    <t>31-38-40-42-43-44-46-48-51-55-57-60-62-64-67-72-100</t>
  </si>
  <si>
    <t>32-37-41-42-44-45-46-48-50-56-57-58-62-65-70-72-100</t>
  </si>
  <si>
    <t>33-39-41-42-43-45-47-48-54-55-57-60-63-66-69-72-100</t>
  </si>
  <si>
    <t>32-37-41-42-43-45-47-48-54-55-57-58-62-65-70-72-100</t>
  </si>
  <si>
    <t>33-39-41-42-43-44-47-48-52-56-57-59-62-66-69-72-100</t>
  </si>
  <si>
    <t>34-36-40-42-43-44-46-48-51-55-57-60-62-64-67-72-100</t>
  </si>
  <si>
    <t>31-38-40-42-44-45-46-48-50-56-57-60-63-66-69-72-100</t>
  </si>
  <si>
    <t>34-36-40-42-44-45-46-48-50-56-57-58-62-65-70-72-100</t>
  </si>
  <si>
    <t>31-38-40-42-43-45-47-48-54-55-57-59-62-66-69-72-100</t>
  </si>
  <si>
    <t>32-37-41-42-43-44-47-48-52-56-57-60-63-66-69-72-100</t>
  </si>
  <si>
    <t>32-37-41-42-44-45-46-48-50-56-57-59-62-66-69-72-100</t>
  </si>
  <si>
    <t>34-36-40-42-43-44-47-48-52-56-57-58-62-65-70-72-100</t>
  </si>
  <si>
    <t>31-38-40-42-43-44-46-48-51-55-57-60-63-66-69-72-100</t>
  </si>
  <si>
    <t>33-39-41-42-44-45-46-48-50-56-57-60-62-64-67-72-100</t>
  </si>
  <si>
    <t>34-36-40-42-43-45-47-48-54-55-57-58-62-65-70-72-100</t>
  </si>
  <si>
    <t>31-38-40-42-43-44-47-48-52-56-57-59-62-66-69-72-100</t>
  </si>
  <si>
    <t>32-37-41-42-43-44-46-48-51-55-57-60-63-66-69-72-100</t>
  </si>
  <si>
    <t>34-36-40-42-43-44-46-48-51-55-57-58-62-65-70-72-100</t>
  </si>
  <si>
    <t>31-38-40-42-44-45-46-48-50-56-57-59-62-66-69-72-100-</t>
  </si>
  <si>
    <t>32-37-41-42-43-45-47-48-54-55-57-60-62-64-67-72-100</t>
  </si>
  <si>
    <t>33-39-41-42-43-44-47-48-52-56-57-60-63-66-69-72-100</t>
  </si>
  <si>
    <t>31-38-40-42-43-44-46-48-51-55-57-59-62-66-69-72-100</t>
  </si>
  <si>
    <t>32-37-41-42-44-45-46-48-50-56-57-60-62-64-67-72-100</t>
  </si>
  <si>
    <t>33-39-41-42-43-45-47-48-54-55-57-58-62-65-70-72-100</t>
  </si>
  <si>
    <t>34-36-40-42-43-44-47-48-52-56-57-60-63-66-69-72-100</t>
  </si>
  <si>
    <t>C-E-I-O</t>
  </si>
  <si>
    <t>33-39-41-42-43-45-47-48-54-55-57-60-62-64-67-72-100</t>
  </si>
  <si>
    <t>8,220</t>
  </si>
  <si>
    <t>9,075/17,295</t>
  </si>
  <si>
    <t>8,955/26,250</t>
  </si>
  <si>
    <t>8,940/35,190</t>
  </si>
  <si>
    <t>8,610/17,490</t>
  </si>
  <si>
    <t>8,475/25,965</t>
  </si>
  <si>
    <t>9,225/35,190</t>
  </si>
  <si>
    <t>8,550/17,250</t>
  </si>
  <si>
    <t>9,105/26,355</t>
  </si>
  <si>
    <t>8,835/35,190</t>
  </si>
  <si>
    <t>8,775/17,625</t>
  </si>
  <si>
    <t>8,355/25,980</t>
  </si>
  <si>
    <t>9,210/35,190</t>
  </si>
  <si>
    <t>8,520/17,280</t>
  </si>
  <si>
    <t>8,940/26,220</t>
  </si>
  <si>
    <t>8,970/35,190</t>
  </si>
  <si>
    <t>9,135/17,850</t>
  </si>
  <si>
    <t>8,865/26,445</t>
  </si>
  <si>
    <t>8,745/35,190</t>
  </si>
  <si>
    <t>8,895/17,925</t>
  </si>
  <si>
    <t>8,835/26,760</t>
  </si>
  <si>
    <t>8,430/35,190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</si>
  <si>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</si>
  <si>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</si>
  <si>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</si>
  <si>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</si>
  <si>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</si>
  <si>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</si>
  <si>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</si>
  <si>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</si>
  <si>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</si>
  <si>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</si>
  <si>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</si>
  <si>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</si>
  <si>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</si>
  <si>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O</t>
  </si>
  <si>
    <t>P</t>
  </si>
  <si>
    <t>31-38-40-42</t>
  </si>
  <si>
    <t>32-37-41-42</t>
  </si>
  <si>
    <t>33-39-41-42</t>
  </si>
  <si>
    <t>34-36-40-42</t>
  </si>
  <si>
    <t>42-43-45-47-48</t>
  </si>
  <si>
    <t>42-43-44-47-48</t>
  </si>
  <si>
    <t>42-43-44-46-48</t>
  </si>
  <si>
    <t>42-44-45-46-48</t>
  </si>
  <si>
    <t>48-54-55-57</t>
  </si>
  <si>
    <t>48-52-56-57</t>
  </si>
  <si>
    <t>48-51-55-57</t>
  </si>
  <si>
    <t>48-50-56-57</t>
  </si>
  <si>
    <t>57-58-62-65-70-72-100</t>
  </si>
  <si>
    <t>57-59-62-66-69-72-100</t>
  </si>
  <si>
    <t>57-60-62-64-67-72-100</t>
  </si>
  <si>
    <t>57-60-63-66-69-72-100</t>
  </si>
  <si>
    <t>34-37-49</t>
  </si>
  <si>
    <t>35-36-49</t>
  </si>
  <si>
    <t>33-37-49</t>
  </si>
  <si>
    <t>34-36-49</t>
  </si>
  <si>
    <t>49-51-56-57</t>
  </si>
  <si>
    <t>49-52-56-57</t>
  </si>
  <si>
    <t>49-54-55-57</t>
  </si>
  <si>
    <t>49-53-55-57</t>
  </si>
  <si>
    <t>57-61-64-67-71-100</t>
  </si>
  <si>
    <t>57-59-62-68-71-100</t>
  </si>
  <si>
    <t>57-60-63-69-71-100</t>
  </si>
  <si>
    <t>57-60-62-69-71-100</t>
  </si>
  <si>
    <t>5.865</t>
  </si>
  <si>
    <t>5.820/11.685</t>
  </si>
  <si>
    <t>5.895/17.580</t>
  </si>
  <si>
    <t>5.745/23.025</t>
  </si>
  <si>
    <t>5.805</t>
  </si>
  <si>
    <t>5.865/17.610</t>
  </si>
  <si>
    <t>5.715/23.325</t>
  </si>
  <si>
    <t>5.715</t>
  </si>
  <si>
    <t>6.120/11.835</t>
  </si>
  <si>
    <t>5.625/17.460</t>
  </si>
  <si>
    <t>5.865/23.325</t>
  </si>
  <si>
    <t>5.775</t>
  </si>
  <si>
    <t>6.000/11.775</t>
  </si>
  <si>
    <t>5.655/17.430</t>
  </si>
  <si>
    <t>5.895/23.325</t>
  </si>
  <si>
    <t>6.030/11.895</t>
  </si>
  <si>
    <t>5.605/17.700</t>
  </si>
  <si>
    <t>5.625/23.325</t>
  </si>
  <si>
    <t>5.835/11.550</t>
  </si>
  <si>
    <t>1.760/17.310</t>
  </si>
  <si>
    <t>6.015/23.325</t>
  </si>
  <si>
    <t>5.760</t>
  </si>
  <si>
    <t>5.445/11.205</t>
  </si>
  <si>
    <t>6.195/17.400</t>
  </si>
  <si>
    <t>5.715/11.475</t>
  </si>
  <si>
    <t>5.820/17.295</t>
  </si>
  <si>
    <t>6.030/23.325</t>
  </si>
  <si>
    <t>B-H-I</t>
  </si>
  <si>
    <t>C-E-J</t>
  </si>
  <si>
    <t>D-F-K</t>
  </si>
  <si>
    <t>A-G-L</t>
  </si>
  <si>
    <t>A-E-I</t>
  </si>
  <si>
    <t>B-F-J</t>
  </si>
  <si>
    <t>C-G-K</t>
  </si>
  <si>
    <t>D-H-L</t>
  </si>
  <si>
    <t>5.925/23.325</t>
  </si>
  <si>
    <t>B-E-K</t>
  </si>
  <si>
    <t>C-G-I</t>
  </si>
  <si>
    <t>D-G-J</t>
  </si>
  <si>
    <t>A-H-L</t>
  </si>
  <si>
    <t>C-G-J</t>
  </si>
  <si>
    <t>D-H-K</t>
  </si>
  <si>
    <t>B-F-L</t>
  </si>
  <si>
    <t>A-G-I</t>
  </si>
  <si>
    <t>B-H-J</t>
  </si>
  <si>
    <t>C-E-L</t>
  </si>
  <si>
    <t>A-H-K</t>
  </si>
  <si>
    <t>B-E-I</t>
  </si>
  <si>
    <t>C-F-L</t>
  </si>
  <si>
    <t>A-G-J</t>
  </si>
  <si>
    <t>B-H-K</t>
  </si>
  <si>
    <t>C-E-I</t>
  </si>
  <si>
    <t>D-F-L</t>
  </si>
  <si>
    <t>5.940/11.745</t>
  </si>
  <si>
    <t>A-F-K</t>
  </si>
  <si>
    <t>B-G-I</t>
  </si>
  <si>
    <t>C-H-J</t>
  </si>
  <si>
    <t>D-E-L</t>
  </si>
  <si>
    <t>C-H-I</t>
  </si>
  <si>
    <t>D-E-J</t>
  </si>
  <si>
    <t>B-G-L</t>
  </si>
  <si>
    <t>6.000</t>
  </si>
  <si>
    <t>5.565/11.565</t>
  </si>
  <si>
    <t>5.910/17.475</t>
  </si>
  <si>
    <t>5.850/23.325</t>
  </si>
  <si>
    <t>33-37-49-53-55-57-61-64-67-71-100</t>
  </si>
  <si>
    <t>35-36-49-54-55-57-61-64-67-71-100</t>
  </si>
  <si>
    <t>33-37-49-51-56-57-61-64-67-71-100</t>
  </si>
  <si>
    <t>35-36-49-51-56-57-61-64-67-71-100</t>
  </si>
  <si>
    <t>34-37-49-54-55-57-61-64-67-71-100</t>
  </si>
  <si>
    <t>34-37-49-51-56-57-61-64-67-71-100</t>
  </si>
  <si>
    <t>33-37-49-54-55-57-61-64-67-71-100</t>
  </si>
  <si>
    <t>35-36-49-53-55-57-61-64-67-71-100</t>
  </si>
  <si>
    <t>34-36-49-51-56-57-59-62-68-71-100</t>
  </si>
  <si>
    <t>34-37-49-54-55-57-59-62-68-71-100</t>
  </si>
  <si>
    <t>34-36-49-54-55-57-59-62-68-71-100</t>
  </si>
  <si>
    <t>33-37-49-54-55-57-59-62-68-71-100</t>
  </si>
  <si>
    <t>35-36-49-52-56-57-59-62-68-71-100</t>
  </si>
  <si>
    <t>33-37-49-51-56-57-59-62-68-71-100</t>
  </si>
  <si>
    <t>34-37-49-52-56-57-60-63-69-71-100</t>
  </si>
  <si>
    <t>34-36-49-52-56-57-60-63-69-71-100</t>
  </si>
  <si>
    <t>35-36-49-51-56-57-60-63-69-71-100</t>
  </si>
  <si>
    <t>33-37-49-54-55-57-60-63-69-71-100</t>
  </si>
  <si>
    <t>35-36-49-54-55-57-60-62-69-71-100</t>
  </si>
  <si>
    <t>34-36-49-51-56-57-60-62-69-71-100</t>
  </si>
  <si>
    <t>34-36-49-52-56-57-60-62-69-71-100</t>
  </si>
  <si>
    <t>33-37-49-52-56-57-60-62-69-71-100</t>
  </si>
  <si>
    <t>33-37-49-51-56-57-60-62-69-71-100</t>
  </si>
  <si>
    <t>35-36-49-52-56-57-60-62-69-71-100</t>
  </si>
  <si>
    <t>34-37-49-54-55-57-60-62-69-71-100</t>
  </si>
  <si>
    <t>33-37-49-53-55-57-59-62-68-71-100</t>
  </si>
  <si>
    <t>35-36-49-53-55-57-60-63-69-71-100</t>
  </si>
  <si>
    <t>34-37-49-53-55-57-60-63-69-71-100</t>
  </si>
  <si>
    <t>35-36-49-53-55-57-59-62-68-71-100</t>
  </si>
  <si>
    <t>34-36-49-53-55-57-60-63-69-71-100</t>
  </si>
  <si>
    <t>34-37-49-53-55-57-60-62-69-71-100</t>
  </si>
  <si>
    <t>34-36-49-53-55-57-60-62-69-71-100</t>
  </si>
  <si>
    <t>Группа Ж21Б</t>
  </si>
  <si>
    <t>Азербайджанская ССР</t>
  </si>
  <si>
    <t>снята</t>
  </si>
  <si>
    <t>сошла</t>
  </si>
  <si>
    <t>Группа М21Б</t>
  </si>
  <si>
    <t>снят</t>
  </si>
  <si>
    <t>Начальник дистанции - В.Зиединьш. Ю.Цебулис</t>
  </si>
  <si>
    <t>Длина дистанции: 12км</t>
  </si>
  <si>
    <t>1.</t>
  </si>
  <si>
    <t>Зорин</t>
  </si>
  <si>
    <t>2.</t>
  </si>
  <si>
    <t>Яковкин</t>
  </si>
  <si>
    <t>3.</t>
  </si>
  <si>
    <t>Сайтеев</t>
  </si>
  <si>
    <t>4.</t>
  </si>
  <si>
    <t>Новожилов</t>
  </si>
  <si>
    <t>5.</t>
  </si>
  <si>
    <t>Святкин</t>
  </si>
  <si>
    <t>6.</t>
  </si>
  <si>
    <t>Усенко</t>
  </si>
  <si>
    <t>7.</t>
  </si>
  <si>
    <t>Алексеев</t>
  </si>
  <si>
    <t>8.</t>
  </si>
  <si>
    <t>Ярвеоя</t>
  </si>
  <si>
    <t>9.</t>
  </si>
  <si>
    <t>Пейланс</t>
  </si>
  <si>
    <t>10.</t>
  </si>
  <si>
    <t>Шафиков</t>
  </si>
  <si>
    <t>Длина дистанции: 6,9км</t>
  </si>
  <si>
    <t>Начальник дистанции - В.Зиединьш, Г.Упацерс</t>
  </si>
  <si>
    <t>Вилькялене</t>
  </si>
  <si>
    <t>Зукуле</t>
  </si>
  <si>
    <t>Икамайте</t>
  </si>
  <si>
    <t>Йохансон</t>
  </si>
  <si>
    <t>Юмарик</t>
  </si>
  <si>
    <t>Левичева</t>
  </si>
  <si>
    <t>Кокаревича</t>
  </si>
  <si>
    <t>Анашова</t>
  </si>
  <si>
    <t>Габранс</t>
  </si>
  <si>
    <t>Романовска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</si>
</sst>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3" x14ac:knownFonts="1">
    <font>
      <sz val="10"/>
      <name val="Arial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21" fontId="1" fillId="0" borderId="0" xfId="0" applyNumberFormat="1" applyFont="1" applyAlignment="1">
      <alignment horizontal="center" vertical="center"/>
    </xf>
    <xf numFmtId="21" fontId="1" fillId="0" borderId="1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21" fontId="1" fillId="0" borderId="0" xfId="0" applyNumberFormat="1" applyFont="1" applyAlignment="1">
      <alignment horizontal="center"/>
    </xf>
    <xf numFmtId="0" fontId="1" fillId="0" borderId="11" xfId="0" applyFont="1" applyBorder="1"/>
    <xf numFmtId="21" fontId="1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21" fontId="1" fillId="0" borderId="0" xfId="0" applyNumberFormat="1" applyFont="1"/>
    <xf numFmtId="0" fontId="1" fillId="0" borderId="6" xfId="0" applyFont="1" applyBorder="1" applyAlignment="1">
      <alignment horizontal="center" vertical="center"/>
    </xf>
    <xf numFmtId="0" fontId="1" fillId="0" borderId="5" xfId="0" applyFont="1" applyBorder="1"/>
    <xf numFmtId="0" fontId="1" fillId="0" borderId="5" xfId="0" applyFont="1" applyBorder="1" applyAlignment="1">
      <alignment horizontal="center" vertical="center"/>
    </xf>
    <xf numFmtId="21" fontId="1" fillId="0" borderId="5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/>
    <xf numFmtId="0" fontId="1" fillId="0" borderId="10" xfId="0" applyFont="1" applyBorder="1" applyAlignment="1">
      <alignment horizontal="center" vertical="center"/>
    </xf>
    <xf numFmtId="21" fontId="1" fillId="0" borderId="10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21" fontId="1" fillId="0" borderId="10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21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21" fontId="1" fillId="0" borderId="2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/>
    <xf numFmtId="0" fontId="1" fillId="0" borderId="10" xfId="0" applyFont="1" applyBorder="1" applyAlignment="1">
      <alignment vertical="center"/>
    </xf>
    <xf numFmtId="0" fontId="0" fillId="0" borderId="10" xfId="0" applyBorder="1"/>
    <xf numFmtId="0" fontId="0" fillId="0" borderId="8" xfId="0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2" xfId="0" applyBorder="1"/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21" fontId="1" fillId="0" borderId="11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47" fontId="1" fillId="0" borderId="0" xfId="0" applyNumberFormat="1" applyFont="1"/>
    <xf numFmtId="20" fontId="1" fillId="0" borderId="0" xfId="0" applyNumberFormat="1" applyFont="1"/>
    <xf numFmtId="16" fontId="1" fillId="0" borderId="0" xfId="0" applyNumberFormat="1" applyFont="1"/>
    <xf numFmtId="17" fontId="1" fillId="0" borderId="0" xfId="0" applyNumberFormat="1" applyFont="1"/>
    <xf numFmtId="46" fontId="1" fillId="0" borderId="0" xfId="0" applyNumberFormat="1" applyFont="1"/>
    <xf numFmtId="164" fontId="1" fillId="0" borderId="10" xfId="0" applyNumberFormat="1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47" fontId="1" fillId="0" borderId="0" xfId="0" applyNumberFormat="1" applyFont="1" applyAlignment="1">
      <alignment horizontal="center" vertical="center"/>
    </xf>
    <xf numFmtId="46" fontId="1" fillId="0" borderId="10" xfId="0" applyNumberFormat="1" applyFont="1" applyBorder="1" applyAlignment="1">
      <alignment vertical="center"/>
    </xf>
    <xf numFmtId="49" fontId="1" fillId="0" borderId="0" xfId="0" applyNumberFormat="1" applyFont="1" applyAlignment="1">
      <alignment horizontal="left" vertical="center"/>
    </xf>
    <xf numFmtId="0" fontId="0" fillId="0" borderId="11" xfId="0" applyBorder="1" applyAlignment="1">
      <alignment horizontal="center" vertical="center"/>
    </xf>
    <xf numFmtId="21" fontId="0" fillId="0" borderId="11" xfId="0" applyNumberForma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1" xfId="0" applyBorder="1"/>
    <xf numFmtId="21" fontId="0" fillId="0" borderId="1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opLeftCell="A13" workbookViewId="0">
      <selection activeCell="D42" sqref="D42"/>
    </sheetView>
  </sheetViews>
  <sheetFormatPr defaultRowHeight="13.2" x14ac:dyDescent="0.25"/>
  <cols>
    <col min="1" max="1" width="6.109375" style="2" customWidth="1"/>
    <col min="2" max="2" width="27.109375" style="2" customWidth="1"/>
    <col min="3" max="6" width="13" style="3" customWidth="1"/>
    <col min="7" max="7" width="8.77734375" style="3" customWidth="1"/>
    <col min="8" max="8" width="7.109375" style="3" customWidth="1"/>
    <col min="9" max="16384" width="8.88671875" style="2"/>
  </cols>
  <sheetData>
    <row r="1" spans="1:8" x14ac:dyDescent="0.25">
      <c r="A1" s="2" t="s">
        <v>0</v>
      </c>
    </row>
    <row r="2" spans="1:8" x14ac:dyDescent="0.25">
      <c r="A2" s="2" t="s">
        <v>1</v>
      </c>
    </row>
    <row r="4" spans="1:8" x14ac:dyDescent="0.25">
      <c r="A4" s="2" t="s">
        <v>31</v>
      </c>
    </row>
    <row r="5" spans="1:8" x14ac:dyDescent="0.25">
      <c r="A5" s="2" t="s">
        <v>32</v>
      </c>
    </row>
    <row r="7" spans="1:8" x14ac:dyDescent="0.25">
      <c r="A7" s="2" t="s">
        <v>3</v>
      </c>
    </row>
    <row r="8" spans="1:8" x14ac:dyDescent="0.25">
      <c r="A8" s="2" t="s">
        <v>4</v>
      </c>
    </row>
    <row r="10" spans="1:8" x14ac:dyDescent="0.25">
      <c r="A10" s="2" t="s">
        <v>5</v>
      </c>
    </row>
    <row r="11" spans="1:8" x14ac:dyDescent="0.25">
      <c r="A11" s="2" t="s">
        <v>142</v>
      </c>
    </row>
    <row r="14" spans="1:8" ht="19.2" customHeight="1" x14ac:dyDescent="0.25">
      <c r="A14" s="74" t="s">
        <v>33</v>
      </c>
      <c r="B14" s="74" t="s">
        <v>6</v>
      </c>
      <c r="C14" s="74" t="s">
        <v>7</v>
      </c>
      <c r="D14" s="74"/>
      <c r="E14" s="74"/>
      <c r="F14" s="74"/>
      <c r="G14" s="74" t="s">
        <v>35</v>
      </c>
      <c r="H14" s="74" t="s">
        <v>34</v>
      </c>
    </row>
    <row r="15" spans="1:8" ht="19.2" customHeight="1" x14ac:dyDescent="0.25">
      <c r="A15" s="74"/>
      <c r="B15" s="74"/>
      <c r="C15" s="74" t="s">
        <v>36</v>
      </c>
      <c r="D15" s="74"/>
      <c r="E15" s="74" t="s">
        <v>37</v>
      </c>
      <c r="F15" s="74"/>
      <c r="G15" s="74"/>
      <c r="H15" s="74"/>
    </row>
    <row r="16" spans="1:8" ht="19.2" customHeight="1" x14ac:dyDescent="0.25">
      <c r="A16" s="74"/>
      <c r="B16" s="74"/>
      <c r="C16" s="4" t="s">
        <v>8</v>
      </c>
      <c r="D16" s="4" t="s">
        <v>38</v>
      </c>
      <c r="E16" s="4" t="s">
        <v>8</v>
      </c>
      <c r="F16" s="4" t="s">
        <v>38</v>
      </c>
      <c r="G16" s="74"/>
      <c r="H16" s="74"/>
    </row>
    <row r="17" spans="1:8" ht="30.6" customHeight="1" x14ac:dyDescent="0.25">
      <c r="A17" s="74" t="s">
        <v>2</v>
      </c>
      <c r="B17" s="74"/>
      <c r="C17" s="74"/>
      <c r="D17" s="74"/>
      <c r="E17" s="74"/>
      <c r="F17" s="74"/>
      <c r="G17" s="74"/>
      <c r="H17" s="74"/>
    </row>
    <row r="18" spans="1:8" x14ac:dyDescent="0.25">
      <c r="A18" s="6">
        <v>1</v>
      </c>
      <c r="B18" s="7" t="s">
        <v>9</v>
      </c>
      <c r="C18" s="6">
        <v>2</v>
      </c>
      <c r="D18" s="6">
        <v>1</v>
      </c>
      <c r="E18" s="6">
        <v>1</v>
      </c>
      <c r="F18" s="6">
        <v>1</v>
      </c>
      <c r="G18" s="6">
        <f>SUM(C18:F18)</f>
        <v>5</v>
      </c>
      <c r="H18" s="6">
        <v>1</v>
      </c>
    </row>
    <row r="19" spans="1:8" x14ac:dyDescent="0.25">
      <c r="A19" s="6">
        <v>2</v>
      </c>
      <c r="B19" s="7" t="s">
        <v>40</v>
      </c>
      <c r="C19" s="6">
        <v>1</v>
      </c>
      <c r="D19" s="6">
        <v>3</v>
      </c>
      <c r="E19" s="6">
        <v>2</v>
      </c>
      <c r="F19" s="6">
        <v>4</v>
      </c>
      <c r="G19" s="6">
        <f t="shared" ref="G19:G26" si="0">SUM(C19:F19)</f>
        <v>10</v>
      </c>
      <c r="H19" s="6">
        <v>2</v>
      </c>
    </row>
    <row r="20" spans="1:8" x14ac:dyDescent="0.25">
      <c r="A20" s="6">
        <v>3</v>
      </c>
      <c r="B20" s="7" t="s">
        <v>11</v>
      </c>
      <c r="C20" s="6">
        <v>5</v>
      </c>
      <c r="D20" s="6">
        <v>4</v>
      </c>
      <c r="E20" s="6">
        <v>3</v>
      </c>
      <c r="F20" s="6">
        <v>2</v>
      </c>
      <c r="G20" s="6">
        <f t="shared" si="0"/>
        <v>14</v>
      </c>
      <c r="H20" s="6">
        <v>3</v>
      </c>
    </row>
    <row r="21" spans="1:8" x14ac:dyDescent="0.25">
      <c r="A21" s="6">
        <v>4</v>
      </c>
      <c r="B21" s="7" t="s">
        <v>12</v>
      </c>
      <c r="C21" s="6">
        <v>3</v>
      </c>
      <c r="D21" s="6">
        <v>5</v>
      </c>
      <c r="E21" s="6">
        <v>5</v>
      </c>
      <c r="F21" s="6">
        <v>6</v>
      </c>
      <c r="G21" s="6">
        <f t="shared" si="0"/>
        <v>19</v>
      </c>
      <c r="H21" s="6">
        <v>4</v>
      </c>
    </row>
    <row r="22" spans="1:8" x14ac:dyDescent="0.25">
      <c r="A22" s="6">
        <v>5</v>
      </c>
      <c r="B22" s="7" t="s">
        <v>13</v>
      </c>
      <c r="C22" s="6">
        <v>9</v>
      </c>
      <c r="D22" s="6">
        <v>2</v>
      </c>
      <c r="E22" s="6">
        <v>7</v>
      </c>
      <c r="F22" s="6">
        <v>3</v>
      </c>
      <c r="G22" s="6">
        <f t="shared" si="0"/>
        <v>21</v>
      </c>
      <c r="H22" s="6">
        <v>5</v>
      </c>
    </row>
    <row r="23" spans="1:8" x14ac:dyDescent="0.25">
      <c r="A23" s="6">
        <v>6</v>
      </c>
      <c r="B23" s="7" t="s">
        <v>14</v>
      </c>
      <c r="C23" s="6">
        <v>4</v>
      </c>
      <c r="D23" s="6">
        <v>8</v>
      </c>
      <c r="E23" s="6">
        <v>6</v>
      </c>
      <c r="F23" s="6">
        <v>7</v>
      </c>
      <c r="G23" s="6">
        <f t="shared" si="0"/>
        <v>25</v>
      </c>
      <c r="H23" s="6">
        <v>6</v>
      </c>
    </row>
    <row r="24" spans="1:8" x14ac:dyDescent="0.25">
      <c r="A24" s="6">
        <v>7</v>
      </c>
      <c r="B24" s="7" t="s">
        <v>16</v>
      </c>
      <c r="C24" s="6">
        <v>6</v>
      </c>
      <c r="D24" s="6">
        <v>9</v>
      </c>
      <c r="E24" s="6">
        <v>4</v>
      </c>
      <c r="F24" s="6">
        <v>9</v>
      </c>
      <c r="G24" s="6">
        <f t="shared" si="0"/>
        <v>28</v>
      </c>
      <c r="H24" s="6">
        <v>7</v>
      </c>
    </row>
    <row r="25" spans="1:8" x14ac:dyDescent="0.25">
      <c r="A25" s="6">
        <v>8</v>
      </c>
      <c r="B25" s="7" t="s">
        <v>18</v>
      </c>
      <c r="C25" s="6">
        <v>8</v>
      </c>
      <c r="D25" s="6">
        <v>6</v>
      </c>
      <c r="E25" s="6">
        <v>8</v>
      </c>
      <c r="F25" s="6">
        <v>8</v>
      </c>
      <c r="G25" s="6">
        <f t="shared" si="0"/>
        <v>30</v>
      </c>
      <c r="H25" s="6">
        <v>8</v>
      </c>
    </row>
    <row r="26" spans="1:8" x14ac:dyDescent="0.25">
      <c r="A26" s="6">
        <v>9</v>
      </c>
      <c r="B26" s="7" t="s">
        <v>39</v>
      </c>
      <c r="C26" s="6">
        <v>7</v>
      </c>
      <c r="D26" s="6">
        <v>7</v>
      </c>
      <c r="E26" s="6">
        <v>12</v>
      </c>
      <c r="F26" s="6">
        <v>5</v>
      </c>
      <c r="G26" s="6">
        <f t="shared" si="0"/>
        <v>31</v>
      </c>
      <c r="H26" s="6">
        <v>9</v>
      </c>
    </row>
    <row r="27" spans="1:8" ht="31.2" customHeight="1" x14ac:dyDescent="0.25">
      <c r="A27" s="75" t="s">
        <v>21</v>
      </c>
      <c r="B27" s="75"/>
      <c r="C27" s="75"/>
      <c r="D27" s="75"/>
      <c r="E27" s="75"/>
      <c r="F27" s="75"/>
      <c r="G27" s="75"/>
      <c r="H27" s="75"/>
    </row>
    <row r="28" spans="1:8" x14ac:dyDescent="0.25">
      <c r="A28" s="6">
        <v>1</v>
      </c>
      <c r="B28" s="7" t="s">
        <v>22</v>
      </c>
      <c r="C28" s="6">
        <v>1</v>
      </c>
      <c r="D28" s="6">
        <v>2</v>
      </c>
      <c r="E28" s="6">
        <v>2</v>
      </c>
      <c r="F28" s="6">
        <v>1</v>
      </c>
      <c r="G28" s="6">
        <f>SUM(C28:F28)</f>
        <v>6</v>
      </c>
      <c r="H28" s="6">
        <v>1</v>
      </c>
    </row>
    <row r="29" spans="1:8" x14ac:dyDescent="0.25">
      <c r="A29" s="6">
        <v>2</v>
      </c>
      <c r="B29" s="7" t="s">
        <v>23</v>
      </c>
      <c r="C29" s="6">
        <v>2</v>
      </c>
      <c r="D29" s="6">
        <v>1</v>
      </c>
      <c r="E29" s="6">
        <v>3</v>
      </c>
      <c r="F29" s="6">
        <v>2</v>
      </c>
      <c r="G29" s="6">
        <f t="shared" ref="G29:G32" si="1">SUM(C29:F29)</f>
        <v>8</v>
      </c>
      <c r="H29" s="6">
        <v>2</v>
      </c>
    </row>
    <row r="30" spans="1:8" x14ac:dyDescent="0.25">
      <c r="A30" s="6">
        <v>3</v>
      </c>
      <c r="B30" s="7" t="s">
        <v>24</v>
      </c>
      <c r="C30" s="6">
        <v>4</v>
      </c>
      <c r="D30" s="6">
        <v>3</v>
      </c>
      <c r="E30" s="6">
        <v>1</v>
      </c>
      <c r="F30" s="6">
        <v>3</v>
      </c>
      <c r="G30" s="6">
        <f t="shared" si="1"/>
        <v>11</v>
      </c>
      <c r="H30" s="6">
        <v>3</v>
      </c>
    </row>
    <row r="31" spans="1:8" x14ac:dyDescent="0.25">
      <c r="A31" s="6">
        <v>4</v>
      </c>
      <c r="B31" s="7" t="s">
        <v>25</v>
      </c>
      <c r="C31" s="6">
        <v>3</v>
      </c>
      <c r="D31" s="6">
        <v>7</v>
      </c>
      <c r="E31" s="6">
        <v>4</v>
      </c>
      <c r="F31" s="6">
        <v>7</v>
      </c>
      <c r="G31" s="6">
        <f t="shared" si="1"/>
        <v>21</v>
      </c>
      <c r="H31" s="6">
        <v>4</v>
      </c>
    </row>
    <row r="32" spans="1:8" x14ac:dyDescent="0.25">
      <c r="A32" s="6">
        <v>5</v>
      </c>
      <c r="B32" s="7" t="s">
        <v>26</v>
      </c>
      <c r="C32" s="6">
        <v>6</v>
      </c>
      <c r="D32" s="6">
        <v>5</v>
      </c>
      <c r="E32" s="6">
        <v>6</v>
      </c>
      <c r="F32" s="6">
        <v>7</v>
      </c>
      <c r="G32" s="6">
        <f t="shared" si="1"/>
        <v>24</v>
      </c>
      <c r="H32" s="6">
        <v>5</v>
      </c>
    </row>
    <row r="33" spans="1:8" x14ac:dyDescent="0.25">
      <c r="A33" s="6">
        <v>6</v>
      </c>
      <c r="B33" s="7" t="s">
        <v>28</v>
      </c>
      <c r="C33" s="6">
        <v>7</v>
      </c>
      <c r="D33" s="6" t="s">
        <v>41</v>
      </c>
      <c r="E33" s="6" t="s">
        <v>41</v>
      </c>
      <c r="F33" s="6" t="s">
        <v>41</v>
      </c>
      <c r="G33" s="6"/>
      <c r="H33" s="6" t="s">
        <v>41</v>
      </c>
    </row>
    <row r="34" spans="1:8" x14ac:dyDescent="0.25">
      <c r="C34" s="2"/>
      <c r="D34" s="2"/>
      <c r="E34" s="2"/>
      <c r="F34" s="2"/>
      <c r="G34" s="2"/>
      <c r="H34" s="2"/>
    </row>
    <row r="36" spans="1:8" x14ac:dyDescent="0.25">
      <c r="B36" s="2" t="s">
        <v>29</v>
      </c>
      <c r="C36" s="8" t="s">
        <v>42</v>
      </c>
    </row>
    <row r="37" spans="1:8" x14ac:dyDescent="0.25">
      <c r="B37" s="2" t="s">
        <v>30</v>
      </c>
      <c r="C37" s="8" t="s">
        <v>43</v>
      </c>
    </row>
  </sheetData>
  <mergeCells count="9">
    <mergeCell ref="G14:G16"/>
    <mergeCell ref="H14:H16"/>
    <mergeCell ref="A17:H17"/>
    <mergeCell ref="A27:H27"/>
    <mergeCell ref="C14:F14"/>
    <mergeCell ref="C15:D15"/>
    <mergeCell ref="E15:F15"/>
    <mergeCell ref="B14:B16"/>
    <mergeCell ref="A14:A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opLeftCell="A21" workbookViewId="0">
      <selection activeCell="C73" sqref="B23:C73"/>
    </sheetView>
  </sheetViews>
  <sheetFormatPr defaultRowHeight="13.2" x14ac:dyDescent="0.25"/>
  <cols>
    <col min="1" max="1" width="9.5546875" style="2" customWidth="1"/>
    <col min="2" max="2" width="31.21875" style="2" customWidth="1"/>
    <col min="3" max="3" width="16.6640625" style="2" customWidth="1"/>
    <col min="4" max="4" width="11.21875" style="3" customWidth="1"/>
    <col min="5" max="5" width="12.44140625" style="3"/>
    <col min="6" max="6" width="9.21875" style="3"/>
    <col min="7" max="7" width="14.6640625" style="3"/>
    <col min="8" max="8" width="14.6640625" style="3" customWidth="1"/>
    <col min="9" max="9" width="11.77734375" style="2"/>
    <col min="10" max="16384" width="8.88671875" style="2"/>
  </cols>
  <sheetData>
    <row r="1" spans="1:1" x14ac:dyDescent="0.25">
      <c r="A1" s="2" t="s">
        <v>0</v>
      </c>
    </row>
    <row r="2" spans="1:1" x14ac:dyDescent="0.25">
      <c r="A2" s="2" t="s">
        <v>1</v>
      </c>
    </row>
    <row r="4" spans="1:1" x14ac:dyDescent="0.25">
      <c r="A4" s="2" t="s">
        <v>31</v>
      </c>
    </row>
    <row r="5" spans="1:1" x14ac:dyDescent="0.25">
      <c r="A5" s="2" t="s">
        <v>32</v>
      </c>
    </row>
    <row r="7" spans="1:1" x14ac:dyDescent="0.25">
      <c r="A7" s="2" t="s">
        <v>139</v>
      </c>
    </row>
    <row r="8" spans="1:1" x14ac:dyDescent="0.25">
      <c r="A8" s="2" t="s">
        <v>140</v>
      </c>
    </row>
    <row r="10" spans="1:1" x14ac:dyDescent="0.25">
      <c r="A10" s="2" t="s">
        <v>141</v>
      </c>
    </row>
    <row r="11" spans="1:1" x14ac:dyDescent="0.25">
      <c r="A11" s="2" t="s">
        <v>142</v>
      </c>
    </row>
    <row r="13" spans="1:1" x14ac:dyDescent="0.25">
      <c r="A13" s="2" t="s">
        <v>143</v>
      </c>
    </row>
    <row r="14" spans="1:1" x14ac:dyDescent="0.25">
      <c r="A14" s="2" t="s">
        <v>144</v>
      </c>
    </row>
    <row r="15" spans="1:1" x14ac:dyDescent="0.25">
      <c r="A15" s="2" t="s">
        <v>145</v>
      </c>
    </row>
    <row r="17" spans="1:8" x14ac:dyDescent="0.25">
      <c r="A17" s="2" t="s">
        <v>146</v>
      </c>
    </row>
    <row r="19" spans="1:8" x14ac:dyDescent="0.25">
      <c r="A19" s="2" t="s">
        <v>147</v>
      </c>
    </row>
    <row r="22" spans="1:8" ht="26.4" x14ac:dyDescent="0.25">
      <c r="A22" s="4" t="s">
        <v>33</v>
      </c>
      <c r="B22" s="4" t="s">
        <v>148</v>
      </c>
      <c r="C22" s="4" t="s">
        <v>6</v>
      </c>
      <c r="D22" s="4" t="s">
        <v>149</v>
      </c>
      <c r="E22" s="4" t="s">
        <v>150</v>
      </c>
      <c r="F22" s="4" t="s">
        <v>34</v>
      </c>
      <c r="G22" s="4" t="s">
        <v>151</v>
      </c>
      <c r="H22" s="4" t="s">
        <v>152</v>
      </c>
    </row>
    <row r="23" spans="1:8" x14ac:dyDescent="0.25">
      <c r="A23" s="6">
        <v>1</v>
      </c>
      <c r="B23" s="7" t="s">
        <v>153</v>
      </c>
      <c r="C23" s="7" t="s">
        <v>40</v>
      </c>
      <c r="D23" s="6" t="s">
        <v>44</v>
      </c>
      <c r="E23" s="11">
        <v>5.2037037037037041E-2</v>
      </c>
      <c r="F23" s="6">
        <v>1</v>
      </c>
      <c r="G23" s="6" t="s">
        <v>78</v>
      </c>
      <c r="H23" s="6" t="s">
        <v>78</v>
      </c>
    </row>
    <row r="24" spans="1:8" x14ac:dyDescent="0.25">
      <c r="A24" s="6">
        <v>2</v>
      </c>
      <c r="B24" s="7" t="s">
        <v>154</v>
      </c>
      <c r="C24" s="7" t="s">
        <v>45</v>
      </c>
      <c r="D24" s="6" t="s">
        <v>46</v>
      </c>
      <c r="E24" s="11">
        <v>5.4120370370370374E-2</v>
      </c>
      <c r="F24" s="6">
        <v>2</v>
      </c>
      <c r="G24" s="6" t="s">
        <v>78</v>
      </c>
      <c r="H24" s="6" t="s">
        <v>78</v>
      </c>
    </row>
    <row r="25" spans="1:8" x14ac:dyDescent="0.25">
      <c r="A25" s="6">
        <v>3</v>
      </c>
      <c r="B25" s="7" t="s">
        <v>47</v>
      </c>
      <c r="C25" s="7" t="s">
        <v>40</v>
      </c>
      <c r="D25" s="6" t="s">
        <v>48</v>
      </c>
      <c r="E25" s="11">
        <v>5.4722222222222228E-2</v>
      </c>
      <c r="F25" s="6">
        <v>3</v>
      </c>
      <c r="G25" s="6" t="s">
        <v>78</v>
      </c>
      <c r="H25" s="6" t="s">
        <v>78</v>
      </c>
    </row>
    <row r="26" spans="1:8" x14ac:dyDescent="0.25">
      <c r="A26" s="6">
        <v>4</v>
      </c>
      <c r="B26" s="7" t="s">
        <v>49</v>
      </c>
      <c r="C26" s="7" t="s">
        <v>50</v>
      </c>
      <c r="D26" s="6" t="s">
        <v>51</v>
      </c>
      <c r="E26" s="11">
        <v>5.5046296296296295E-2</v>
      </c>
      <c r="F26" s="6">
        <v>4</v>
      </c>
      <c r="G26" s="6" t="s">
        <v>78</v>
      </c>
      <c r="H26" s="6" t="s">
        <v>78</v>
      </c>
    </row>
    <row r="27" spans="1:8" x14ac:dyDescent="0.25">
      <c r="A27" s="6">
        <v>5</v>
      </c>
      <c r="B27" s="7" t="s">
        <v>52</v>
      </c>
      <c r="C27" s="7" t="s">
        <v>65</v>
      </c>
      <c r="D27" s="6" t="s">
        <v>53</v>
      </c>
      <c r="E27" s="11">
        <v>5.5324074074074074E-2</v>
      </c>
      <c r="F27" s="6">
        <v>5</v>
      </c>
      <c r="G27" s="6" t="s">
        <v>78</v>
      </c>
      <c r="H27" s="6" t="s">
        <v>78</v>
      </c>
    </row>
    <row r="28" spans="1:8" x14ac:dyDescent="0.25">
      <c r="A28" s="6">
        <v>6</v>
      </c>
      <c r="B28" s="7" t="s">
        <v>155</v>
      </c>
      <c r="C28" s="7" t="s">
        <v>54</v>
      </c>
      <c r="D28" s="6" t="s">
        <v>55</v>
      </c>
      <c r="E28" s="11">
        <v>5.541666666666667E-2</v>
      </c>
      <c r="F28" s="6">
        <v>6</v>
      </c>
      <c r="G28" s="6" t="s">
        <v>78</v>
      </c>
      <c r="H28" s="6" t="s">
        <v>78</v>
      </c>
    </row>
    <row r="29" spans="1:8" x14ac:dyDescent="0.25">
      <c r="A29" s="6">
        <v>7</v>
      </c>
      <c r="B29" s="7" t="s">
        <v>56</v>
      </c>
      <c r="C29" s="7" t="s">
        <v>45</v>
      </c>
      <c r="D29" s="6" t="s">
        <v>57</v>
      </c>
      <c r="E29" s="11">
        <v>5.5428240740740743E-2</v>
      </c>
      <c r="F29" s="6">
        <v>7</v>
      </c>
      <c r="G29" s="6" t="s">
        <v>78</v>
      </c>
      <c r="H29" s="6" t="s">
        <v>78</v>
      </c>
    </row>
    <row r="30" spans="1:8" x14ac:dyDescent="0.25">
      <c r="A30" s="6">
        <v>8</v>
      </c>
      <c r="B30" s="7" t="s">
        <v>58</v>
      </c>
      <c r="C30" s="7" t="s">
        <v>167</v>
      </c>
      <c r="D30" s="6" t="s">
        <v>59</v>
      </c>
      <c r="E30" s="11">
        <v>5.5717592592592596E-2</v>
      </c>
      <c r="F30" s="6">
        <v>8</v>
      </c>
      <c r="G30" s="6" t="s">
        <v>78</v>
      </c>
      <c r="H30" s="6" t="s">
        <v>78</v>
      </c>
    </row>
    <row r="31" spans="1:8" x14ac:dyDescent="0.25">
      <c r="A31" s="6">
        <v>9</v>
      </c>
      <c r="B31" s="7" t="s">
        <v>156</v>
      </c>
      <c r="C31" s="7" t="s">
        <v>50</v>
      </c>
      <c r="D31" s="6" t="s">
        <v>60</v>
      </c>
      <c r="E31" s="11">
        <v>5.5787037037037031E-2</v>
      </c>
      <c r="F31" s="6">
        <v>9</v>
      </c>
      <c r="G31" s="6" t="s">
        <v>78</v>
      </c>
      <c r="H31" s="6" t="s">
        <v>78</v>
      </c>
    </row>
    <row r="32" spans="1:8" x14ac:dyDescent="0.25">
      <c r="A32" s="6">
        <v>10</v>
      </c>
      <c r="B32" s="7" t="s">
        <v>157</v>
      </c>
      <c r="C32" s="7" t="s">
        <v>45</v>
      </c>
      <c r="D32" s="6" t="s">
        <v>61</v>
      </c>
      <c r="E32" s="11">
        <v>5.5810185185185185E-2</v>
      </c>
      <c r="F32" s="6">
        <v>10</v>
      </c>
      <c r="G32" s="6" t="s">
        <v>78</v>
      </c>
      <c r="H32" s="6" t="s">
        <v>78</v>
      </c>
    </row>
    <row r="33" spans="1:8" x14ac:dyDescent="0.25">
      <c r="A33" s="6">
        <v>11</v>
      </c>
      <c r="B33" s="7" t="s">
        <v>158</v>
      </c>
      <c r="C33" s="7" t="s">
        <v>50</v>
      </c>
      <c r="D33" s="6" t="s">
        <v>62</v>
      </c>
      <c r="E33" s="11">
        <v>5.590277777777778E-2</v>
      </c>
      <c r="F33" s="6">
        <v>11</v>
      </c>
      <c r="G33" s="6" t="s">
        <v>78</v>
      </c>
      <c r="H33" s="6" t="s">
        <v>78</v>
      </c>
    </row>
    <row r="34" spans="1:8" x14ac:dyDescent="0.25">
      <c r="A34" s="6">
        <v>12</v>
      </c>
      <c r="B34" s="7" t="s">
        <v>159</v>
      </c>
      <c r="C34" s="7" t="s">
        <v>40</v>
      </c>
      <c r="D34" s="6" t="s">
        <v>63</v>
      </c>
      <c r="E34" s="11">
        <v>5.603009259259259E-2</v>
      </c>
      <c r="F34" s="6">
        <v>12</v>
      </c>
      <c r="G34" s="6" t="s">
        <v>78</v>
      </c>
      <c r="H34" s="6" t="s">
        <v>78</v>
      </c>
    </row>
    <row r="35" spans="1:8" x14ac:dyDescent="0.25">
      <c r="A35" s="6">
        <v>13</v>
      </c>
      <c r="B35" s="7" t="s">
        <v>160</v>
      </c>
      <c r="C35" s="7" t="s">
        <v>40</v>
      </c>
      <c r="D35" s="6" t="s">
        <v>64</v>
      </c>
      <c r="E35" s="11">
        <v>5.6284722222222222E-2</v>
      </c>
      <c r="F35" s="6">
        <v>13</v>
      </c>
      <c r="G35" s="6" t="s">
        <v>78</v>
      </c>
      <c r="H35" s="6" t="s">
        <v>78</v>
      </c>
    </row>
    <row r="36" spans="1:8" x14ac:dyDescent="0.25">
      <c r="A36" s="6">
        <v>14</v>
      </c>
      <c r="B36" s="7" t="s">
        <v>161</v>
      </c>
      <c r="C36" s="7" t="s">
        <v>65</v>
      </c>
      <c r="D36" s="6" t="s">
        <v>66</v>
      </c>
      <c r="E36" s="11">
        <v>5.6412037037037038E-2</v>
      </c>
      <c r="F36" s="6">
        <v>14</v>
      </c>
      <c r="G36" s="6" t="s">
        <v>78</v>
      </c>
      <c r="H36" s="6" t="s">
        <v>78</v>
      </c>
    </row>
    <row r="37" spans="1:8" x14ac:dyDescent="0.25">
      <c r="A37" s="6">
        <v>15</v>
      </c>
      <c r="B37" s="7" t="s">
        <v>162</v>
      </c>
      <c r="C37" s="7" t="s">
        <v>83</v>
      </c>
      <c r="D37" s="6" t="s">
        <v>67</v>
      </c>
      <c r="E37" s="11">
        <v>5.6435185185185179E-2</v>
      </c>
      <c r="F37" s="6">
        <v>15</v>
      </c>
      <c r="G37" s="6" t="s">
        <v>78</v>
      </c>
      <c r="H37" s="6" t="s">
        <v>78</v>
      </c>
    </row>
    <row r="38" spans="1:8" x14ac:dyDescent="0.25">
      <c r="A38" s="6">
        <v>16</v>
      </c>
      <c r="B38" s="7" t="s">
        <v>163</v>
      </c>
      <c r="C38" s="7" t="s">
        <v>168</v>
      </c>
      <c r="D38" s="6" t="s">
        <v>68</v>
      </c>
      <c r="E38" s="11">
        <v>5.6678240740740737E-2</v>
      </c>
      <c r="F38" s="6">
        <v>16</v>
      </c>
      <c r="G38" s="6" t="s">
        <v>78</v>
      </c>
      <c r="H38" s="6" t="s">
        <v>169</v>
      </c>
    </row>
    <row r="39" spans="1:8" x14ac:dyDescent="0.25">
      <c r="A39" s="6">
        <v>17</v>
      </c>
      <c r="B39" s="7" t="s">
        <v>69</v>
      </c>
      <c r="C39" s="7" t="s">
        <v>65</v>
      </c>
      <c r="D39" s="6" t="s">
        <v>70</v>
      </c>
      <c r="E39" s="11">
        <v>5.7152777777777775E-2</v>
      </c>
      <c r="F39" s="6">
        <v>17</v>
      </c>
      <c r="G39" s="6" t="s">
        <v>78</v>
      </c>
      <c r="H39" s="6" t="s">
        <v>169</v>
      </c>
    </row>
    <row r="40" spans="1:8" x14ac:dyDescent="0.25">
      <c r="A40" s="6">
        <v>18</v>
      </c>
      <c r="B40" s="7" t="s">
        <v>71</v>
      </c>
      <c r="C40" s="7" t="s">
        <v>13</v>
      </c>
      <c r="D40" s="6" t="s">
        <v>72</v>
      </c>
      <c r="E40" s="11">
        <v>5.7187500000000002E-2</v>
      </c>
      <c r="F40" s="6">
        <v>18</v>
      </c>
      <c r="G40" s="6" t="s">
        <v>78</v>
      </c>
      <c r="H40" s="6" t="s">
        <v>169</v>
      </c>
    </row>
    <row r="41" spans="1:8" x14ac:dyDescent="0.25">
      <c r="A41" s="6">
        <v>19</v>
      </c>
      <c r="B41" s="7" t="s">
        <v>164</v>
      </c>
      <c r="C41" s="7" t="s">
        <v>40</v>
      </c>
      <c r="D41" s="6">
        <v>199</v>
      </c>
      <c r="E41" s="11">
        <v>5.7199074074074076E-2</v>
      </c>
      <c r="F41" s="6">
        <v>19</v>
      </c>
      <c r="G41" s="6" t="s">
        <v>78</v>
      </c>
      <c r="H41" s="6" t="s">
        <v>169</v>
      </c>
    </row>
    <row r="42" spans="1:8" x14ac:dyDescent="0.25">
      <c r="A42" s="6">
        <v>20</v>
      </c>
      <c r="B42" s="7" t="s">
        <v>165</v>
      </c>
      <c r="C42" s="7" t="s">
        <v>45</v>
      </c>
      <c r="D42" s="6">
        <v>183</v>
      </c>
      <c r="E42" s="11">
        <v>5.7499999999999996E-2</v>
      </c>
      <c r="F42" s="6">
        <v>20</v>
      </c>
      <c r="G42" s="6" t="s">
        <v>78</v>
      </c>
      <c r="H42" s="6" t="s">
        <v>169</v>
      </c>
    </row>
    <row r="43" spans="1:8" x14ac:dyDescent="0.25">
      <c r="A43" s="6">
        <v>21</v>
      </c>
      <c r="B43" s="7" t="s">
        <v>166</v>
      </c>
      <c r="C43" s="7" t="s">
        <v>50</v>
      </c>
      <c r="D43" s="6">
        <v>143</v>
      </c>
      <c r="E43" s="11">
        <v>5.7511574074074069E-2</v>
      </c>
      <c r="F43" s="6">
        <v>21</v>
      </c>
      <c r="G43" s="6" t="s">
        <v>78</v>
      </c>
      <c r="H43" s="6" t="s">
        <v>169</v>
      </c>
    </row>
    <row r="44" spans="1:8" x14ac:dyDescent="0.25">
      <c r="A44" s="6">
        <v>22</v>
      </c>
      <c r="B44" s="7" t="s">
        <v>170</v>
      </c>
      <c r="C44" s="7" t="s">
        <v>45</v>
      </c>
      <c r="D44" s="6" t="s">
        <v>73</v>
      </c>
      <c r="E44" s="11">
        <v>5.752314814814815E-2</v>
      </c>
      <c r="F44" s="6" t="s">
        <v>74</v>
      </c>
      <c r="G44" s="6" t="s">
        <v>78</v>
      </c>
      <c r="H44" s="6" t="s">
        <v>169</v>
      </c>
    </row>
    <row r="45" spans="1:8" x14ac:dyDescent="0.25">
      <c r="A45" s="6">
        <v>23</v>
      </c>
      <c r="B45" s="7" t="s">
        <v>75</v>
      </c>
      <c r="C45" s="7" t="s">
        <v>184</v>
      </c>
      <c r="D45" s="6" t="s">
        <v>76</v>
      </c>
      <c r="E45" s="11">
        <v>5.7638888888888885E-2</v>
      </c>
      <c r="F45" s="6" t="s">
        <v>77</v>
      </c>
      <c r="G45" s="6" t="s">
        <v>78</v>
      </c>
      <c r="H45" s="6" t="s">
        <v>169</v>
      </c>
    </row>
    <row r="46" spans="1:8" x14ac:dyDescent="0.25">
      <c r="A46" s="6">
        <v>24</v>
      </c>
      <c r="B46" s="7" t="s">
        <v>171</v>
      </c>
      <c r="C46" s="7" t="s">
        <v>54</v>
      </c>
      <c r="D46" s="6" t="s">
        <v>79</v>
      </c>
      <c r="E46" s="11">
        <v>5.7754629629629628E-2</v>
      </c>
      <c r="F46" s="6" t="s">
        <v>27</v>
      </c>
      <c r="G46" s="6" t="s">
        <v>78</v>
      </c>
      <c r="H46" s="6" t="s">
        <v>169</v>
      </c>
    </row>
    <row r="47" spans="1:8" x14ac:dyDescent="0.25">
      <c r="A47" s="6">
        <v>25</v>
      </c>
      <c r="B47" s="7" t="s">
        <v>80</v>
      </c>
      <c r="C47" s="7" t="s">
        <v>18</v>
      </c>
      <c r="D47" s="6" t="s">
        <v>81</v>
      </c>
      <c r="E47" s="11">
        <v>5.8414351851851849E-2</v>
      </c>
      <c r="F47" s="6" t="s">
        <v>15</v>
      </c>
      <c r="G47" s="6" t="s">
        <v>78</v>
      </c>
      <c r="H47" s="6" t="s">
        <v>169</v>
      </c>
    </row>
    <row r="48" spans="1:8" x14ac:dyDescent="0.25">
      <c r="A48" s="6">
        <v>26</v>
      </c>
      <c r="B48" s="7" t="s">
        <v>82</v>
      </c>
      <c r="C48" s="7" t="s">
        <v>83</v>
      </c>
      <c r="D48" s="6" t="s">
        <v>84</v>
      </c>
      <c r="E48" s="11">
        <v>6.0173611111111108E-2</v>
      </c>
      <c r="F48" s="6" t="s">
        <v>85</v>
      </c>
      <c r="G48" s="6" t="s">
        <v>78</v>
      </c>
      <c r="H48" s="6" t="s">
        <v>169</v>
      </c>
    </row>
    <row r="49" spans="1:8" x14ac:dyDescent="0.25">
      <c r="A49" s="6">
        <v>27</v>
      </c>
      <c r="B49" s="7" t="s">
        <v>86</v>
      </c>
      <c r="C49" s="7" t="s">
        <v>185</v>
      </c>
      <c r="D49" s="6" t="s">
        <v>87</v>
      </c>
      <c r="E49" s="11">
        <v>6.0208333333333336E-2</v>
      </c>
      <c r="F49" s="6" t="s">
        <v>88</v>
      </c>
      <c r="G49" s="6" t="s">
        <v>169</v>
      </c>
      <c r="H49" s="6" t="s">
        <v>169</v>
      </c>
    </row>
    <row r="50" spans="1:8" x14ac:dyDescent="0.25">
      <c r="A50" s="6">
        <v>28</v>
      </c>
      <c r="B50" s="7" t="s">
        <v>172</v>
      </c>
      <c r="C50" s="7" t="s">
        <v>18</v>
      </c>
      <c r="D50" s="6" t="s">
        <v>89</v>
      </c>
      <c r="E50" s="11">
        <v>6.0289351851851851E-2</v>
      </c>
      <c r="F50" s="6" t="s">
        <v>17</v>
      </c>
      <c r="G50" s="6" t="s">
        <v>78</v>
      </c>
      <c r="H50" s="6" t="s">
        <v>169</v>
      </c>
    </row>
    <row r="51" spans="1:8" x14ac:dyDescent="0.25">
      <c r="A51" s="6">
        <v>29</v>
      </c>
      <c r="B51" s="7" t="s">
        <v>173</v>
      </c>
      <c r="C51" s="7" t="s">
        <v>54</v>
      </c>
      <c r="D51" s="6" t="s">
        <v>90</v>
      </c>
      <c r="E51" s="11">
        <v>6.039351851851852E-2</v>
      </c>
      <c r="F51" s="6" t="s">
        <v>91</v>
      </c>
      <c r="G51" s="6" t="s">
        <v>78</v>
      </c>
      <c r="H51" s="6" t="s">
        <v>169</v>
      </c>
    </row>
    <row r="52" spans="1:8" x14ac:dyDescent="0.25">
      <c r="A52" s="6">
        <v>30</v>
      </c>
      <c r="B52" s="7" t="s">
        <v>174</v>
      </c>
      <c r="C52" s="7" t="s">
        <v>83</v>
      </c>
      <c r="D52" s="6" t="s">
        <v>92</v>
      </c>
      <c r="E52" s="11">
        <v>6.0810185185185182E-2</v>
      </c>
      <c r="F52" s="6" t="s">
        <v>19</v>
      </c>
      <c r="G52" s="6" t="s">
        <v>78</v>
      </c>
      <c r="H52" s="6" t="s">
        <v>169</v>
      </c>
    </row>
    <row r="53" spans="1:8" x14ac:dyDescent="0.25">
      <c r="A53" s="6">
        <v>31</v>
      </c>
      <c r="B53" s="7" t="s">
        <v>93</v>
      </c>
      <c r="C53" s="7" t="s">
        <v>13</v>
      </c>
      <c r="D53" s="6" t="s">
        <v>94</v>
      </c>
      <c r="E53" s="11">
        <v>6.084490740740741E-2</v>
      </c>
      <c r="F53" s="6" t="s">
        <v>20</v>
      </c>
      <c r="G53" s="6" t="s">
        <v>78</v>
      </c>
      <c r="H53" s="6" t="s">
        <v>169</v>
      </c>
    </row>
    <row r="54" spans="1:8" x14ac:dyDescent="0.25">
      <c r="A54" s="6">
        <v>32</v>
      </c>
      <c r="B54" s="7" t="s">
        <v>175</v>
      </c>
      <c r="C54" s="7" t="s">
        <v>39</v>
      </c>
      <c r="D54" s="6" t="s">
        <v>95</v>
      </c>
      <c r="E54" s="11">
        <v>6.0949074074074072E-2</v>
      </c>
      <c r="F54" s="6" t="s">
        <v>96</v>
      </c>
      <c r="G54" s="6" t="s">
        <v>78</v>
      </c>
      <c r="H54" s="6" t="s">
        <v>169</v>
      </c>
    </row>
    <row r="55" spans="1:8" x14ac:dyDescent="0.25">
      <c r="A55" s="6">
        <v>33</v>
      </c>
      <c r="B55" s="7" t="s">
        <v>97</v>
      </c>
      <c r="C55" s="7" t="s">
        <v>65</v>
      </c>
      <c r="D55" s="6" t="s">
        <v>98</v>
      </c>
      <c r="E55" s="11">
        <v>6.1273148148148153E-2</v>
      </c>
      <c r="F55" s="6" t="s">
        <v>99</v>
      </c>
      <c r="G55" s="6" t="s">
        <v>78</v>
      </c>
      <c r="H55" s="6" t="s">
        <v>169</v>
      </c>
    </row>
    <row r="56" spans="1:8" x14ac:dyDescent="0.25">
      <c r="A56" s="6">
        <v>34</v>
      </c>
      <c r="B56" s="7" t="s">
        <v>100</v>
      </c>
      <c r="C56" s="7" t="s">
        <v>83</v>
      </c>
      <c r="D56" s="6" t="s">
        <v>101</v>
      </c>
      <c r="E56" s="11">
        <v>6.1504629629629631E-2</v>
      </c>
      <c r="F56" s="6" t="s">
        <v>102</v>
      </c>
      <c r="G56" s="6" t="s">
        <v>78</v>
      </c>
      <c r="H56" s="6" t="s">
        <v>169</v>
      </c>
    </row>
    <row r="57" spans="1:8" x14ac:dyDescent="0.25">
      <c r="A57" s="6">
        <v>35</v>
      </c>
      <c r="B57" s="7" t="s">
        <v>176</v>
      </c>
      <c r="C57" s="7" t="s">
        <v>39</v>
      </c>
      <c r="D57" s="6" t="s">
        <v>103</v>
      </c>
      <c r="E57" s="11">
        <v>6.1990740740740735E-2</v>
      </c>
      <c r="F57" s="6" t="s">
        <v>104</v>
      </c>
      <c r="G57" s="6" t="s">
        <v>78</v>
      </c>
      <c r="H57" s="6" t="s">
        <v>169</v>
      </c>
    </row>
    <row r="58" spans="1:8" x14ac:dyDescent="0.25">
      <c r="A58" s="6">
        <v>36</v>
      </c>
      <c r="B58" s="7" t="s">
        <v>177</v>
      </c>
      <c r="C58" s="7" t="s">
        <v>18</v>
      </c>
      <c r="D58" s="6" t="s">
        <v>105</v>
      </c>
      <c r="E58" s="11">
        <v>6.2245370370370368E-2</v>
      </c>
      <c r="F58" s="6" t="s">
        <v>106</v>
      </c>
      <c r="G58" s="6" t="s">
        <v>78</v>
      </c>
      <c r="H58" s="6" t="s">
        <v>169</v>
      </c>
    </row>
    <row r="59" spans="1:8" x14ac:dyDescent="0.25">
      <c r="A59" s="6">
        <v>37</v>
      </c>
      <c r="B59" s="7" t="s">
        <v>107</v>
      </c>
      <c r="C59" s="7" t="s">
        <v>54</v>
      </c>
      <c r="D59" s="6" t="s">
        <v>108</v>
      </c>
      <c r="E59" s="11">
        <v>6.2488425925925926E-2</v>
      </c>
      <c r="F59" s="6" t="s">
        <v>109</v>
      </c>
      <c r="G59" s="6" t="s">
        <v>78</v>
      </c>
      <c r="H59" s="6" t="s">
        <v>169</v>
      </c>
    </row>
    <row r="60" spans="1:8" x14ac:dyDescent="0.25">
      <c r="A60" s="6">
        <v>38</v>
      </c>
      <c r="B60" s="7" t="s">
        <v>178</v>
      </c>
      <c r="C60" s="7" t="s">
        <v>186</v>
      </c>
      <c r="D60" s="6">
        <v>113</v>
      </c>
      <c r="E60" s="11">
        <v>6.2708333333333324E-2</v>
      </c>
      <c r="F60" s="6" t="s">
        <v>111</v>
      </c>
      <c r="G60" s="6" t="s">
        <v>78</v>
      </c>
      <c r="H60" s="6" t="s">
        <v>169</v>
      </c>
    </row>
    <row r="61" spans="1:8" x14ac:dyDescent="0.25">
      <c r="A61" s="6">
        <v>39</v>
      </c>
      <c r="B61" s="7" t="s">
        <v>179</v>
      </c>
      <c r="C61" s="7" t="s">
        <v>39</v>
      </c>
      <c r="D61" s="6" t="s">
        <v>112</v>
      </c>
      <c r="E61" s="11">
        <v>6.2708333333333324E-2</v>
      </c>
      <c r="F61" s="6" t="s">
        <v>111</v>
      </c>
      <c r="G61" s="6" t="s">
        <v>78</v>
      </c>
      <c r="H61" s="6" t="s">
        <v>169</v>
      </c>
    </row>
    <row r="62" spans="1:8" x14ac:dyDescent="0.25">
      <c r="A62" s="6">
        <v>40</v>
      </c>
      <c r="B62" s="7" t="s">
        <v>113</v>
      </c>
      <c r="C62" s="7" t="s">
        <v>39</v>
      </c>
      <c r="D62" s="6">
        <v>111</v>
      </c>
      <c r="E62" s="11">
        <v>6.4166666666666664E-2</v>
      </c>
      <c r="F62" s="6" t="s">
        <v>114</v>
      </c>
      <c r="G62" s="6" t="s">
        <v>169</v>
      </c>
      <c r="H62" s="6" t="s">
        <v>169</v>
      </c>
    </row>
    <row r="63" spans="1:8" x14ac:dyDescent="0.25">
      <c r="A63" s="6">
        <v>41</v>
      </c>
      <c r="B63" s="7" t="s">
        <v>115</v>
      </c>
      <c r="C63" s="7" t="s">
        <v>18</v>
      </c>
      <c r="D63" s="6" t="s">
        <v>116</v>
      </c>
      <c r="E63" s="11">
        <v>6.5868055555555555E-2</v>
      </c>
      <c r="F63" s="6" t="s">
        <v>117</v>
      </c>
      <c r="G63" s="6" t="s">
        <v>169</v>
      </c>
      <c r="H63" s="6"/>
    </row>
    <row r="64" spans="1:8" x14ac:dyDescent="0.25">
      <c r="A64" s="6">
        <v>42</v>
      </c>
      <c r="B64" s="7" t="s">
        <v>118</v>
      </c>
      <c r="C64" s="7" t="s">
        <v>40</v>
      </c>
      <c r="D64" s="6" t="s">
        <v>119</v>
      </c>
      <c r="E64" s="11">
        <v>6.6087962962962959E-2</v>
      </c>
      <c r="F64" s="6" t="s">
        <v>120</v>
      </c>
      <c r="G64" s="6" t="s">
        <v>78</v>
      </c>
      <c r="H64" s="6"/>
    </row>
    <row r="65" spans="1:8" x14ac:dyDescent="0.25">
      <c r="A65" s="6">
        <v>43</v>
      </c>
      <c r="B65" s="7" t="s">
        <v>180</v>
      </c>
      <c r="C65" s="7" t="s">
        <v>54</v>
      </c>
      <c r="D65" s="6" t="s">
        <v>121</v>
      </c>
      <c r="E65" s="11">
        <v>6.7222222222222225E-2</v>
      </c>
      <c r="F65" s="6" t="s">
        <v>122</v>
      </c>
      <c r="G65" s="6" t="s">
        <v>78</v>
      </c>
      <c r="H65" s="6"/>
    </row>
    <row r="66" spans="1:8" x14ac:dyDescent="0.25">
      <c r="A66" s="6">
        <v>44</v>
      </c>
      <c r="B66" s="7" t="s">
        <v>69</v>
      </c>
      <c r="C66" s="7" t="s">
        <v>13</v>
      </c>
      <c r="D66" s="6" t="s">
        <v>123</v>
      </c>
      <c r="E66" s="11">
        <v>6.8402777777777771E-2</v>
      </c>
      <c r="F66" s="6" t="s">
        <v>124</v>
      </c>
      <c r="G66" s="6" t="s">
        <v>78</v>
      </c>
      <c r="H66" s="6"/>
    </row>
    <row r="67" spans="1:8" x14ac:dyDescent="0.25">
      <c r="A67" s="6">
        <v>45</v>
      </c>
      <c r="B67" s="7" t="s">
        <v>125</v>
      </c>
      <c r="C67" s="7" t="s">
        <v>13</v>
      </c>
      <c r="D67" s="6">
        <v>103</v>
      </c>
      <c r="E67" s="11">
        <v>6.9675925925925933E-2</v>
      </c>
      <c r="F67" s="6" t="s">
        <v>126</v>
      </c>
      <c r="G67" s="6" t="s">
        <v>169</v>
      </c>
      <c r="H67" s="6"/>
    </row>
    <row r="68" spans="1:8" x14ac:dyDescent="0.25">
      <c r="A68" s="6">
        <v>46</v>
      </c>
      <c r="B68" s="7" t="s">
        <v>127</v>
      </c>
      <c r="C68" s="7" t="s">
        <v>18</v>
      </c>
      <c r="D68" s="6" t="s">
        <v>128</v>
      </c>
      <c r="E68" s="11">
        <v>6.987268518518519E-2</v>
      </c>
      <c r="F68" s="6" t="s">
        <v>129</v>
      </c>
      <c r="G68" s="6" t="s">
        <v>78</v>
      </c>
      <c r="H68" s="6"/>
    </row>
    <row r="69" spans="1:8" x14ac:dyDescent="0.25">
      <c r="A69" s="6">
        <v>47</v>
      </c>
      <c r="B69" s="7" t="s">
        <v>181</v>
      </c>
      <c r="C69" s="7" t="s">
        <v>50</v>
      </c>
      <c r="D69" s="6" t="s">
        <v>130</v>
      </c>
      <c r="E69" s="11">
        <v>7.0081018518518515E-2</v>
      </c>
      <c r="F69" s="6" t="s">
        <v>131</v>
      </c>
      <c r="G69" s="6" t="s">
        <v>169</v>
      </c>
      <c r="H69" s="6"/>
    </row>
    <row r="70" spans="1:8" x14ac:dyDescent="0.25">
      <c r="A70" s="6">
        <v>48</v>
      </c>
      <c r="B70" s="7" t="s">
        <v>132</v>
      </c>
      <c r="C70" s="7" t="s">
        <v>168</v>
      </c>
      <c r="D70" s="6" t="s">
        <v>133</v>
      </c>
      <c r="E70" s="11">
        <v>7.4780092592592592E-2</v>
      </c>
      <c r="F70" s="6">
        <v>48</v>
      </c>
      <c r="G70" s="6" t="s">
        <v>169</v>
      </c>
      <c r="H70" s="6"/>
    </row>
    <row r="71" spans="1:8" x14ac:dyDescent="0.25">
      <c r="A71" s="6">
        <v>49</v>
      </c>
      <c r="B71" s="7" t="s">
        <v>182</v>
      </c>
      <c r="C71" s="7" t="s">
        <v>65</v>
      </c>
      <c r="D71" s="6" t="s">
        <v>134</v>
      </c>
      <c r="E71" s="11">
        <v>7.8842592592592589E-2</v>
      </c>
      <c r="F71" s="6" t="s">
        <v>135</v>
      </c>
      <c r="G71" s="6" t="s">
        <v>169</v>
      </c>
      <c r="H71" s="6"/>
    </row>
    <row r="72" spans="1:8" x14ac:dyDescent="0.25">
      <c r="A72" s="6">
        <v>50</v>
      </c>
      <c r="B72" s="7" t="s">
        <v>136</v>
      </c>
      <c r="C72" s="7" t="s">
        <v>13</v>
      </c>
      <c r="D72" s="6" t="s">
        <v>137</v>
      </c>
      <c r="E72" s="11">
        <v>7.9074074074074074E-2</v>
      </c>
      <c r="F72" s="6" t="s">
        <v>138</v>
      </c>
      <c r="G72" s="6" t="s">
        <v>78</v>
      </c>
      <c r="H72" s="6"/>
    </row>
    <row r="73" spans="1:8" x14ac:dyDescent="0.25">
      <c r="A73" s="6">
        <v>51</v>
      </c>
      <c r="B73" s="7" t="s">
        <v>183</v>
      </c>
      <c r="C73" s="7" t="s">
        <v>83</v>
      </c>
      <c r="D73" s="6">
        <v>107</v>
      </c>
      <c r="E73" s="11">
        <v>8.3495370370370373E-2</v>
      </c>
      <c r="F73" s="6">
        <v>51</v>
      </c>
      <c r="G73" s="6" t="s">
        <v>169</v>
      </c>
      <c r="H73" s="6"/>
    </row>
    <row r="75" spans="1:8" x14ac:dyDescent="0.25">
      <c r="B75" s="2" t="s">
        <v>187</v>
      </c>
    </row>
    <row r="76" spans="1:8" x14ac:dyDescent="0.25">
      <c r="B76" s="2" t="s">
        <v>188</v>
      </c>
    </row>
    <row r="77" spans="1:8" x14ac:dyDescent="0.25">
      <c r="B77" s="2" t="s">
        <v>189</v>
      </c>
    </row>
    <row r="78" spans="1:8" x14ac:dyDescent="0.25">
      <c r="B78" s="2" t="s">
        <v>190</v>
      </c>
    </row>
    <row r="80" spans="1:8" x14ac:dyDescent="0.25">
      <c r="B80" s="2" t="s">
        <v>29</v>
      </c>
      <c r="C80" s="8" t="s">
        <v>42</v>
      </c>
    </row>
    <row r="81" spans="2:3" x14ac:dyDescent="0.25">
      <c r="B81" s="2" t="s">
        <v>30</v>
      </c>
      <c r="C81" s="8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workbookViewId="0">
      <selection sqref="A1:A19"/>
    </sheetView>
  </sheetViews>
  <sheetFormatPr defaultRowHeight="13.2" x14ac:dyDescent="0.25"/>
  <cols>
    <col min="1" max="1" width="8.77734375" style="1" customWidth="1"/>
    <col min="2" max="2" width="27" style="1" customWidth="1"/>
    <col min="3" max="3" width="13.88671875" style="1"/>
    <col min="4" max="4" width="11.33203125" style="3" customWidth="1"/>
    <col min="5" max="5" width="12.44140625" style="12"/>
    <col min="6" max="6" width="9.21875" style="12"/>
    <col min="7" max="7" width="14.6640625" style="12"/>
    <col min="8" max="8" width="14.21875" style="12" customWidth="1"/>
    <col min="9" max="9" width="11.77734375" style="1"/>
    <col min="10" max="16384" width="8.88671875" style="1"/>
  </cols>
  <sheetData>
    <row r="1" spans="1:8" s="2" customFormat="1" x14ac:dyDescent="0.25">
      <c r="A1" s="2" t="s">
        <v>0</v>
      </c>
      <c r="D1" s="3"/>
      <c r="E1" s="3"/>
      <c r="F1" s="3"/>
      <c r="G1" s="3"/>
      <c r="H1" s="3"/>
    </row>
    <row r="2" spans="1:8" s="2" customFormat="1" x14ac:dyDescent="0.25">
      <c r="A2" s="2" t="s">
        <v>1</v>
      </c>
      <c r="D2" s="3"/>
      <c r="E2" s="3"/>
      <c r="F2" s="3"/>
      <c r="G2" s="3"/>
      <c r="H2" s="3"/>
    </row>
    <row r="3" spans="1:8" s="2" customFormat="1" x14ac:dyDescent="0.25">
      <c r="D3" s="3"/>
      <c r="E3" s="3"/>
      <c r="F3" s="3"/>
      <c r="G3" s="3"/>
      <c r="H3" s="3"/>
    </row>
    <row r="4" spans="1:8" s="2" customFormat="1" x14ac:dyDescent="0.25">
      <c r="A4" s="2" t="s">
        <v>31</v>
      </c>
      <c r="D4" s="3"/>
      <c r="E4" s="3"/>
      <c r="F4" s="3"/>
      <c r="G4" s="3"/>
      <c r="H4" s="3"/>
    </row>
    <row r="5" spans="1:8" s="2" customFormat="1" x14ac:dyDescent="0.25">
      <c r="A5" s="2" t="s">
        <v>32</v>
      </c>
      <c r="D5" s="3"/>
      <c r="E5" s="3"/>
      <c r="F5" s="3"/>
      <c r="G5" s="3"/>
      <c r="H5" s="3"/>
    </row>
    <row r="6" spans="1:8" s="2" customFormat="1" x14ac:dyDescent="0.25">
      <c r="D6" s="3"/>
      <c r="E6" s="3"/>
      <c r="F6" s="3"/>
      <c r="G6" s="3"/>
      <c r="H6" s="3"/>
    </row>
    <row r="7" spans="1:8" s="2" customFormat="1" x14ac:dyDescent="0.25">
      <c r="A7" s="2" t="s">
        <v>139</v>
      </c>
      <c r="D7" s="3"/>
      <c r="E7" s="3"/>
      <c r="F7" s="3"/>
      <c r="G7" s="3"/>
      <c r="H7" s="3"/>
    </row>
    <row r="8" spans="1:8" s="2" customFormat="1" x14ac:dyDescent="0.25">
      <c r="A8" s="2" t="s">
        <v>140</v>
      </c>
      <c r="D8" s="3"/>
      <c r="E8" s="3"/>
      <c r="F8" s="3"/>
      <c r="G8" s="3"/>
      <c r="H8" s="3"/>
    </row>
    <row r="9" spans="1:8" s="2" customFormat="1" x14ac:dyDescent="0.25">
      <c r="D9" s="3"/>
      <c r="E9" s="3"/>
      <c r="F9" s="3"/>
      <c r="G9" s="3"/>
      <c r="H9" s="3"/>
    </row>
    <row r="10" spans="1:8" s="2" customFormat="1" x14ac:dyDescent="0.25">
      <c r="A10" s="2" t="s">
        <v>141</v>
      </c>
      <c r="D10" s="3"/>
      <c r="E10" s="3"/>
      <c r="F10" s="3"/>
      <c r="G10" s="3"/>
      <c r="H10" s="3"/>
    </row>
    <row r="11" spans="1:8" s="2" customFormat="1" x14ac:dyDescent="0.25">
      <c r="A11" s="2" t="s">
        <v>142</v>
      </c>
      <c r="D11" s="3"/>
      <c r="E11" s="3"/>
      <c r="F11" s="3"/>
      <c r="G11" s="3"/>
      <c r="H11" s="3"/>
    </row>
    <row r="12" spans="1:8" s="2" customFormat="1" x14ac:dyDescent="0.25">
      <c r="D12" s="3"/>
      <c r="E12" s="3"/>
      <c r="F12" s="3"/>
      <c r="G12" s="3"/>
      <c r="H12" s="3"/>
    </row>
    <row r="13" spans="1:8" s="2" customFormat="1" x14ac:dyDescent="0.25">
      <c r="A13" s="2" t="s">
        <v>211</v>
      </c>
      <c r="D13" s="3"/>
      <c r="E13" s="3"/>
      <c r="F13" s="3"/>
      <c r="G13" s="3"/>
      <c r="H13" s="3"/>
    </row>
    <row r="14" spans="1:8" s="2" customFormat="1" x14ac:dyDescent="0.25">
      <c r="A14" s="2" t="s">
        <v>212</v>
      </c>
      <c r="D14" s="3"/>
      <c r="E14" s="3"/>
      <c r="F14" s="3"/>
      <c r="G14" s="3"/>
      <c r="H14" s="3"/>
    </row>
    <row r="15" spans="1:8" s="2" customFormat="1" x14ac:dyDescent="0.25">
      <c r="A15" s="2" t="s">
        <v>145</v>
      </c>
      <c r="D15" s="3"/>
      <c r="E15" s="3"/>
      <c r="F15" s="3"/>
      <c r="G15" s="3"/>
      <c r="H15" s="3"/>
    </row>
    <row r="16" spans="1:8" s="2" customFormat="1" x14ac:dyDescent="0.25">
      <c r="D16" s="3"/>
      <c r="E16" s="3"/>
      <c r="F16" s="3"/>
      <c r="G16" s="3"/>
      <c r="H16" s="3"/>
    </row>
    <row r="17" spans="1:8" s="2" customFormat="1" x14ac:dyDescent="0.25">
      <c r="A17" s="2" t="s">
        <v>213</v>
      </c>
      <c r="D17" s="3"/>
      <c r="E17" s="3"/>
      <c r="F17" s="3"/>
      <c r="G17" s="3"/>
      <c r="H17" s="3"/>
    </row>
    <row r="18" spans="1:8" s="2" customFormat="1" x14ac:dyDescent="0.25">
      <c r="D18" s="3"/>
      <c r="E18" s="3"/>
      <c r="F18" s="3"/>
      <c r="G18" s="3"/>
      <c r="H18" s="3"/>
    </row>
    <row r="19" spans="1:8" s="2" customFormat="1" x14ac:dyDescent="0.25">
      <c r="A19" s="2" t="s">
        <v>214</v>
      </c>
      <c r="D19" s="3"/>
      <c r="E19" s="3"/>
      <c r="F19" s="3"/>
      <c r="G19" s="3"/>
      <c r="H19" s="3"/>
    </row>
    <row r="20" spans="1:8" s="2" customFormat="1" x14ac:dyDescent="0.25">
      <c r="D20" s="3"/>
      <c r="E20" s="3"/>
      <c r="F20" s="3"/>
      <c r="G20" s="3"/>
      <c r="H20" s="3"/>
    </row>
    <row r="21" spans="1:8" s="2" customFormat="1" x14ac:dyDescent="0.25">
      <c r="D21" s="3"/>
      <c r="E21" s="3"/>
      <c r="F21" s="3"/>
      <c r="G21" s="3"/>
      <c r="H21" s="3"/>
    </row>
    <row r="22" spans="1:8" s="2" customFormat="1" ht="26.4" x14ac:dyDescent="0.25">
      <c r="A22" s="4" t="s">
        <v>33</v>
      </c>
      <c r="B22" s="4" t="s">
        <v>148</v>
      </c>
      <c r="C22" s="4" t="s">
        <v>6</v>
      </c>
      <c r="D22" s="4" t="s">
        <v>149</v>
      </c>
      <c r="E22" s="4" t="s">
        <v>150</v>
      </c>
      <c r="F22" s="4" t="s">
        <v>34</v>
      </c>
      <c r="G22" s="4" t="s">
        <v>151</v>
      </c>
      <c r="H22" s="4" t="s">
        <v>152</v>
      </c>
    </row>
    <row r="23" spans="1:8" x14ac:dyDescent="0.25">
      <c r="A23" s="6">
        <v>1</v>
      </c>
      <c r="B23" s="14" t="s">
        <v>215</v>
      </c>
      <c r="C23" s="14" t="s">
        <v>45</v>
      </c>
      <c r="D23" s="6" t="s">
        <v>191</v>
      </c>
      <c r="E23" s="15">
        <v>3.7488425925925925E-2</v>
      </c>
      <c r="F23" s="6">
        <v>1</v>
      </c>
      <c r="G23" s="16" t="s">
        <v>78</v>
      </c>
      <c r="H23" s="16" t="s">
        <v>78</v>
      </c>
    </row>
    <row r="24" spans="1:8" x14ac:dyDescent="0.25">
      <c r="A24" s="6">
        <v>2</v>
      </c>
      <c r="B24" s="14" t="s">
        <v>216</v>
      </c>
      <c r="C24" s="14" t="s">
        <v>45</v>
      </c>
      <c r="D24" s="6" t="s">
        <v>192</v>
      </c>
      <c r="E24" s="15">
        <v>4.1226851851851855E-2</v>
      </c>
      <c r="F24" s="6">
        <v>2</v>
      </c>
      <c r="G24" s="16" t="s">
        <v>78</v>
      </c>
      <c r="H24" s="16" t="s">
        <v>78</v>
      </c>
    </row>
    <row r="25" spans="1:8" x14ac:dyDescent="0.25">
      <c r="A25" s="6">
        <v>3</v>
      </c>
      <c r="B25" s="14" t="s">
        <v>217</v>
      </c>
      <c r="C25" s="14" t="s">
        <v>40</v>
      </c>
      <c r="D25" s="6" t="s">
        <v>193</v>
      </c>
      <c r="E25" s="15">
        <v>4.2407407407407401E-2</v>
      </c>
      <c r="F25" s="6">
        <v>3</v>
      </c>
      <c r="G25" s="16" t="s">
        <v>78</v>
      </c>
      <c r="H25" s="16" t="s">
        <v>78</v>
      </c>
    </row>
    <row r="26" spans="1:8" x14ac:dyDescent="0.25">
      <c r="A26" s="6">
        <v>4</v>
      </c>
      <c r="B26" s="14" t="s">
        <v>228</v>
      </c>
      <c r="C26" s="14" t="s">
        <v>45</v>
      </c>
      <c r="D26" s="6" t="s">
        <v>194</v>
      </c>
      <c r="E26" s="15">
        <v>4.2650462962962959E-2</v>
      </c>
      <c r="F26" s="6">
        <v>4</v>
      </c>
      <c r="G26" s="16" t="s">
        <v>78</v>
      </c>
      <c r="H26" s="16" t="s">
        <v>78</v>
      </c>
    </row>
    <row r="27" spans="1:8" x14ac:dyDescent="0.25">
      <c r="A27" s="6">
        <v>5</v>
      </c>
      <c r="B27" s="14" t="s">
        <v>218</v>
      </c>
      <c r="C27" s="14" t="s">
        <v>50</v>
      </c>
      <c r="D27" s="6" t="s">
        <v>195</v>
      </c>
      <c r="E27" s="15">
        <v>4.2766203703703702E-2</v>
      </c>
      <c r="F27" s="6">
        <v>5</v>
      </c>
      <c r="G27" s="16" t="s">
        <v>78</v>
      </c>
      <c r="H27" s="16" t="s">
        <v>78</v>
      </c>
    </row>
    <row r="28" spans="1:8" x14ac:dyDescent="0.25">
      <c r="A28" s="6">
        <v>6</v>
      </c>
      <c r="B28" s="14" t="s">
        <v>229</v>
      </c>
      <c r="C28" s="14" t="s">
        <v>54</v>
      </c>
      <c r="D28" s="6" t="s">
        <v>196</v>
      </c>
      <c r="E28" s="15">
        <v>4.3321759259259261E-2</v>
      </c>
      <c r="F28" s="6">
        <v>6</v>
      </c>
      <c r="G28" s="16" t="s">
        <v>78</v>
      </c>
      <c r="H28" s="16" t="s">
        <v>78</v>
      </c>
    </row>
    <row r="29" spans="1:8" x14ac:dyDescent="0.25">
      <c r="A29" s="6">
        <v>7</v>
      </c>
      <c r="B29" s="14" t="s">
        <v>230</v>
      </c>
      <c r="C29" s="14" t="s">
        <v>45</v>
      </c>
      <c r="D29" s="6" t="s">
        <v>197</v>
      </c>
      <c r="E29" s="15">
        <v>4.3402777777777783E-2</v>
      </c>
      <c r="F29" s="6">
        <v>7</v>
      </c>
      <c r="G29" s="16" t="s">
        <v>78</v>
      </c>
      <c r="H29" s="16" t="s">
        <v>78</v>
      </c>
    </row>
    <row r="30" spans="1:8" x14ac:dyDescent="0.25">
      <c r="A30" s="6">
        <v>8</v>
      </c>
      <c r="B30" s="14" t="s">
        <v>231</v>
      </c>
      <c r="C30" s="14" t="s">
        <v>18</v>
      </c>
      <c r="D30" s="6" t="s">
        <v>198</v>
      </c>
      <c r="E30" s="15">
        <v>4.4120370370370372E-2</v>
      </c>
      <c r="F30" s="6">
        <v>8</v>
      </c>
      <c r="G30" s="16" t="s">
        <v>78</v>
      </c>
      <c r="H30" s="16" t="s">
        <v>78</v>
      </c>
    </row>
    <row r="31" spans="1:8" x14ac:dyDescent="0.25">
      <c r="A31" s="6">
        <v>9</v>
      </c>
      <c r="B31" s="14" t="s">
        <v>219</v>
      </c>
      <c r="C31" s="14" t="s">
        <v>13</v>
      </c>
      <c r="D31" s="6" t="s">
        <v>199</v>
      </c>
      <c r="E31" s="15">
        <v>4.4224537037037041E-2</v>
      </c>
      <c r="F31" s="6">
        <v>9</v>
      </c>
      <c r="G31" s="16" t="s">
        <v>78</v>
      </c>
      <c r="H31" s="16" t="s">
        <v>78</v>
      </c>
    </row>
    <row r="32" spans="1:8" x14ac:dyDescent="0.25">
      <c r="A32" s="6">
        <v>10</v>
      </c>
      <c r="B32" s="14" t="s">
        <v>220</v>
      </c>
      <c r="C32" s="14" t="s">
        <v>13</v>
      </c>
      <c r="D32" s="6">
        <v>154</v>
      </c>
      <c r="E32" s="15">
        <v>4.4328703703703703E-2</v>
      </c>
      <c r="F32" s="6">
        <v>10</v>
      </c>
      <c r="G32" s="16" t="s">
        <v>78</v>
      </c>
      <c r="H32" s="16" t="s">
        <v>78</v>
      </c>
    </row>
    <row r="33" spans="1:8" x14ac:dyDescent="0.25">
      <c r="A33" s="6">
        <v>11</v>
      </c>
      <c r="B33" s="14" t="s">
        <v>232</v>
      </c>
      <c r="C33" s="14" t="s">
        <v>185</v>
      </c>
      <c r="D33" s="6" t="s">
        <v>200</v>
      </c>
      <c r="E33" s="15">
        <v>4.4548611111111108E-2</v>
      </c>
      <c r="F33" s="6">
        <v>11</v>
      </c>
      <c r="G33" s="16" t="s">
        <v>78</v>
      </c>
      <c r="H33" s="16" t="s">
        <v>78</v>
      </c>
    </row>
    <row r="34" spans="1:8" x14ac:dyDescent="0.25">
      <c r="A34" s="6">
        <v>12</v>
      </c>
      <c r="B34" s="14" t="s">
        <v>221</v>
      </c>
      <c r="C34" s="14" t="s">
        <v>39</v>
      </c>
      <c r="D34" s="6" t="s">
        <v>201</v>
      </c>
      <c r="E34" s="15">
        <v>4.5277777777777778E-2</v>
      </c>
      <c r="F34" s="6">
        <v>12</v>
      </c>
      <c r="G34" s="16" t="s">
        <v>78</v>
      </c>
      <c r="H34" s="16" t="s">
        <v>78</v>
      </c>
    </row>
    <row r="35" spans="1:8" x14ac:dyDescent="0.25">
      <c r="A35" s="6">
        <v>13</v>
      </c>
      <c r="B35" s="14" t="s">
        <v>233</v>
      </c>
      <c r="C35" s="14" t="s">
        <v>54</v>
      </c>
      <c r="D35" s="6" t="s">
        <v>202</v>
      </c>
      <c r="E35" s="15">
        <v>4.5601851851851859E-2</v>
      </c>
      <c r="F35" s="6">
        <v>13</v>
      </c>
      <c r="G35" s="16" t="s">
        <v>78</v>
      </c>
      <c r="H35" s="16" t="s">
        <v>78</v>
      </c>
    </row>
    <row r="36" spans="1:8" x14ac:dyDescent="0.25">
      <c r="A36" s="6">
        <v>14</v>
      </c>
      <c r="B36" s="14" t="s">
        <v>222</v>
      </c>
      <c r="C36" s="14" t="s">
        <v>45</v>
      </c>
      <c r="D36" s="6">
        <v>120</v>
      </c>
      <c r="E36" s="15">
        <v>4.614583333333333E-2</v>
      </c>
      <c r="F36" s="6">
        <v>14</v>
      </c>
      <c r="G36" s="16" t="s">
        <v>78</v>
      </c>
      <c r="H36" s="16" t="s">
        <v>78</v>
      </c>
    </row>
    <row r="37" spans="1:8" x14ac:dyDescent="0.25">
      <c r="A37" s="6">
        <v>15</v>
      </c>
      <c r="B37" s="14" t="s">
        <v>223</v>
      </c>
      <c r="C37" s="14" t="s">
        <v>13</v>
      </c>
      <c r="D37" s="6" t="s">
        <v>203</v>
      </c>
      <c r="E37" s="15">
        <v>4.628472222222222E-2</v>
      </c>
      <c r="F37" s="6">
        <v>15</v>
      </c>
      <c r="G37" s="16" t="s">
        <v>78</v>
      </c>
      <c r="H37" s="16" t="s">
        <v>78</v>
      </c>
    </row>
    <row r="38" spans="1:8" x14ac:dyDescent="0.25">
      <c r="A38" s="6">
        <v>16</v>
      </c>
      <c r="B38" s="14" t="s">
        <v>224</v>
      </c>
      <c r="C38" s="14" t="s">
        <v>185</v>
      </c>
      <c r="D38" s="6" t="s">
        <v>204</v>
      </c>
      <c r="E38" s="15">
        <v>4.6307870370370374E-2</v>
      </c>
      <c r="F38" s="6">
        <v>16</v>
      </c>
      <c r="G38" s="16" t="s">
        <v>78</v>
      </c>
      <c r="H38" s="16" t="s">
        <v>169</v>
      </c>
    </row>
    <row r="39" spans="1:8" x14ac:dyDescent="0.25">
      <c r="A39" s="6">
        <v>17</v>
      </c>
      <c r="B39" s="14" t="s">
        <v>225</v>
      </c>
      <c r="C39" s="14" t="s">
        <v>40</v>
      </c>
      <c r="D39" s="6" t="s">
        <v>205</v>
      </c>
      <c r="E39" s="15">
        <v>4.7361111111111111E-2</v>
      </c>
      <c r="F39" s="6">
        <v>17</v>
      </c>
      <c r="G39" s="16" t="s">
        <v>78</v>
      </c>
      <c r="H39" s="16" t="s">
        <v>41</v>
      </c>
    </row>
    <row r="40" spans="1:8" x14ac:dyDescent="0.25">
      <c r="A40" s="6">
        <v>18</v>
      </c>
      <c r="B40" s="14" t="s">
        <v>234</v>
      </c>
      <c r="C40" s="14" t="s">
        <v>185</v>
      </c>
      <c r="D40" s="6" t="s">
        <v>206</v>
      </c>
      <c r="E40" s="15">
        <v>4.746527777777778E-2</v>
      </c>
      <c r="F40" s="6">
        <v>18</v>
      </c>
      <c r="G40" s="16" t="s">
        <v>78</v>
      </c>
      <c r="H40" s="16"/>
    </row>
    <row r="41" spans="1:8" x14ac:dyDescent="0.25">
      <c r="A41" s="6">
        <v>19</v>
      </c>
      <c r="B41" s="14" t="s">
        <v>235</v>
      </c>
      <c r="C41" s="14" t="s">
        <v>50</v>
      </c>
      <c r="D41" s="6" t="s">
        <v>207</v>
      </c>
      <c r="E41" s="15">
        <v>4.7673611111111104E-2</v>
      </c>
      <c r="F41" s="6">
        <v>19</v>
      </c>
      <c r="G41" s="16" t="s">
        <v>78</v>
      </c>
      <c r="H41" s="16"/>
    </row>
    <row r="42" spans="1:8" x14ac:dyDescent="0.25">
      <c r="A42" s="6">
        <v>20</v>
      </c>
      <c r="B42" s="14" t="s">
        <v>226</v>
      </c>
      <c r="C42" s="14" t="s">
        <v>18</v>
      </c>
      <c r="D42" s="6" t="s">
        <v>208</v>
      </c>
      <c r="E42" s="15">
        <v>4.7881944444444442E-2</v>
      </c>
      <c r="F42" s="6">
        <v>20</v>
      </c>
      <c r="G42" s="16" t="s">
        <v>78</v>
      </c>
      <c r="H42" s="16"/>
    </row>
    <row r="43" spans="1:8" x14ac:dyDescent="0.25">
      <c r="A43" s="6">
        <v>21</v>
      </c>
      <c r="B43" s="14" t="s">
        <v>227</v>
      </c>
      <c r="C43" s="14" t="s">
        <v>40</v>
      </c>
      <c r="D43" s="6" t="s">
        <v>209</v>
      </c>
      <c r="E43" s="15">
        <v>4.8101851851851847E-2</v>
      </c>
      <c r="F43" s="6">
        <v>21</v>
      </c>
      <c r="G43" s="16" t="s">
        <v>78</v>
      </c>
      <c r="H43" s="16"/>
    </row>
    <row r="44" spans="1:8" x14ac:dyDescent="0.25">
      <c r="A44" s="6">
        <v>22</v>
      </c>
      <c r="B44" s="14" t="s">
        <v>236</v>
      </c>
      <c r="C44" s="14" t="s">
        <v>54</v>
      </c>
      <c r="D44" s="6" t="s">
        <v>210</v>
      </c>
      <c r="E44" s="15">
        <v>4.8182870370370369E-2</v>
      </c>
      <c r="F44" s="6">
        <v>22</v>
      </c>
      <c r="G44" s="16" t="s">
        <v>78</v>
      </c>
      <c r="H44" s="16"/>
    </row>
    <row r="45" spans="1:8" x14ac:dyDescent="0.25">
      <c r="A45" s="6">
        <v>23</v>
      </c>
      <c r="B45" s="14" t="s">
        <v>285</v>
      </c>
      <c r="C45" s="14" t="s">
        <v>83</v>
      </c>
      <c r="D45" s="6">
        <v>188</v>
      </c>
      <c r="E45" s="15">
        <v>4.8564814814814818E-2</v>
      </c>
      <c r="F45" s="6">
        <v>23</v>
      </c>
      <c r="G45" s="16" t="s">
        <v>169</v>
      </c>
      <c r="H45" s="16"/>
    </row>
    <row r="46" spans="1:8" x14ac:dyDescent="0.25">
      <c r="A46" s="6">
        <v>24</v>
      </c>
      <c r="B46" s="14" t="s">
        <v>263</v>
      </c>
      <c r="C46" s="14" t="s">
        <v>50</v>
      </c>
      <c r="D46" s="6">
        <v>108</v>
      </c>
      <c r="E46" s="15">
        <v>4.9062500000000002E-2</v>
      </c>
      <c r="F46" s="6">
        <v>24</v>
      </c>
      <c r="G46" s="16" t="s">
        <v>169</v>
      </c>
      <c r="H46" s="16"/>
    </row>
    <row r="47" spans="1:8" x14ac:dyDescent="0.25">
      <c r="A47" s="6">
        <v>25</v>
      </c>
      <c r="B47" s="14" t="s">
        <v>264</v>
      </c>
      <c r="C47" s="14" t="s">
        <v>13</v>
      </c>
      <c r="D47" s="6" t="s">
        <v>237</v>
      </c>
      <c r="E47" s="15">
        <v>4.9131944444444443E-2</v>
      </c>
      <c r="F47" s="6">
        <v>25</v>
      </c>
      <c r="G47" s="16" t="s">
        <v>78</v>
      </c>
      <c r="H47" s="16"/>
    </row>
    <row r="48" spans="1:8" x14ac:dyDescent="0.25">
      <c r="A48" s="6">
        <v>26</v>
      </c>
      <c r="B48" s="14" t="s">
        <v>265</v>
      </c>
      <c r="C48" s="14" t="s">
        <v>40</v>
      </c>
      <c r="D48" s="6" t="s">
        <v>238</v>
      </c>
      <c r="E48" s="15">
        <v>4.9282407407407407E-2</v>
      </c>
      <c r="F48" s="6">
        <v>26</v>
      </c>
      <c r="G48" s="16" t="s">
        <v>78</v>
      </c>
      <c r="H48" s="16"/>
    </row>
    <row r="49" spans="1:8" x14ac:dyDescent="0.25">
      <c r="A49" s="6">
        <v>27</v>
      </c>
      <c r="B49" s="14" t="s">
        <v>266</v>
      </c>
      <c r="C49" s="14" t="s">
        <v>50</v>
      </c>
      <c r="D49" s="6" t="s">
        <v>239</v>
      </c>
      <c r="E49" s="15">
        <v>4.9594907407407407E-2</v>
      </c>
      <c r="F49" s="6">
        <v>27</v>
      </c>
      <c r="G49" s="16" t="s">
        <v>78</v>
      </c>
      <c r="H49" s="16"/>
    </row>
    <row r="50" spans="1:8" x14ac:dyDescent="0.25">
      <c r="A50" s="6">
        <v>28</v>
      </c>
      <c r="B50" s="14" t="s">
        <v>267</v>
      </c>
      <c r="C50" s="14" t="s">
        <v>18</v>
      </c>
      <c r="D50" s="6" t="s">
        <v>240</v>
      </c>
      <c r="E50" s="15">
        <v>4.9953703703703702E-2</v>
      </c>
      <c r="F50" s="6">
        <v>28</v>
      </c>
      <c r="G50" s="16" t="s">
        <v>169</v>
      </c>
      <c r="H50" s="16"/>
    </row>
    <row r="51" spans="1:8" x14ac:dyDescent="0.25">
      <c r="A51" s="6">
        <v>29</v>
      </c>
      <c r="B51" s="14" t="s">
        <v>286</v>
      </c>
      <c r="C51" s="14" t="s">
        <v>50</v>
      </c>
      <c r="D51" s="6" t="s">
        <v>241</v>
      </c>
      <c r="E51" s="15">
        <v>5.0821759259259254E-2</v>
      </c>
      <c r="F51" s="6">
        <v>29</v>
      </c>
      <c r="G51" s="16" t="s">
        <v>78</v>
      </c>
      <c r="H51" s="16"/>
    </row>
    <row r="52" spans="1:8" x14ac:dyDescent="0.25">
      <c r="A52" s="6">
        <v>30</v>
      </c>
      <c r="B52" s="14" t="s">
        <v>268</v>
      </c>
      <c r="C52" s="14" t="s">
        <v>18</v>
      </c>
      <c r="D52" s="6" t="s">
        <v>242</v>
      </c>
      <c r="E52" s="15">
        <v>5.1168981481481489E-2</v>
      </c>
      <c r="F52" s="6">
        <v>30</v>
      </c>
      <c r="G52" s="16" t="s">
        <v>78</v>
      </c>
      <c r="H52" s="16"/>
    </row>
    <row r="53" spans="1:8" x14ac:dyDescent="0.25">
      <c r="A53" s="6">
        <v>31</v>
      </c>
      <c r="B53" s="14" t="s">
        <v>269</v>
      </c>
      <c r="C53" s="14" t="s">
        <v>40</v>
      </c>
      <c r="D53" s="6" t="s">
        <v>243</v>
      </c>
      <c r="E53" s="15">
        <v>5.1412037037037034E-2</v>
      </c>
      <c r="F53" s="6">
        <v>31</v>
      </c>
      <c r="G53" s="16" t="s">
        <v>78</v>
      </c>
      <c r="H53" s="16"/>
    </row>
    <row r="54" spans="1:8" x14ac:dyDescent="0.25">
      <c r="A54" s="6">
        <v>32</v>
      </c>
      <c r="B54" s="14" t="s">
        <v>287</v>
      </c>
      <c r="C54" s="14" t="s">
        <v>54</v>
      </c>
      <c r="D54" s="6" t="s">
        <v>244</v>
      </c>
      <c r="E54" s="15">
        <v>5.1736111111111115E-2</v>
      </c>
      <c r="F54" s="6">
        <v>32</v>
      </c>
      <c r="G54" s="16" t="s">
        <v>78</v>
      </c>
      <c r="H54" s="16"/>
    </row>
    <row r="55" spans="1:8" x14ac:dyDescent="0.25">
      <c r="A55" s="6">
        <v>33</v>
      </c>
      <c r="B55" s="14" t="s">
        <v>270</v>
      </c>
      <c r="C55" s="14" t="s">
        <v>54</v>
      </c>
      <c r="D55" s="6" t="s">
        <v>245</v>
      </c>
      <c r="E55" s="15">
        <v>5.3368055555555551E-2</v>
      </c>
      <c r="F55" s="6">
        <v>33</v>
      </c>
      <c r="G55" s="16" t="s">
        <v>78</v>
      </c>
      <c r="H55" s="16"/>
    </row>
    <row r="56" spans="1:8" x14ac:dyDescent="0.25">
      <c r="A56" s="6">
        <v>34</v>
      </c>
      <c r="B56" s="14" t="s">
        <v>271</v>
      </c>
      <c r="C56" s="14" t="s">
        <v>65</v>
      </c>
      <c r="D56" s="6" t="s">
        <v>246</v>
      </c>
      <c r="E56" s="15">
        <v>5.3703703703703698E-2</v>
      </c>
      <c r="F56" s="6">
        <v>34</v>
      </c>
      <c r="G56" s="16" t="s">
        <v>78</v>
      </c>
      <c r="H56" s="16"/>
    </row>
    <row r="57" spans="1:8" x14ac:dyDescent="0.25">
      <c r="A57" s="6">
        <v>35</v>
      </c>
      <c r="B57" s="14" t="s">
        <v>272</v>
      </c>
      <c r="C57" s="14" t="s">
        <v>39</v>
      </c>
      <c r="D57" s="6" t="s">
        <v>247</v>
      </c>
      <c r="E57" s="15">
        <v>5.4328703703703705E-2</v>
      </c>
      <c r="F57" s="6">
        <v>35</v>
      </c>
      <c r="G57" s="16" t="s">
        <v>169</v>
      </c>
      <c r="H57" s="16"/>
    </row>
    <row r="58" spans="1:8" x14ac:dyDescent="0.25">
      <c r="A58" s="6">
        <v>36</v>
      </c>
      <c r="B58" s="14" t="s">
        <v>273</v>
      </c>
      <c r="C58" s="14" t="s">
        <v>185</v>
      </c>
      <c r="D58" s="6" t="s">
        <v>248</v>
      </c>
      <c r="E58" s="15">
        <v>5.4710648148148154E-2</v>
      </c>
      <c r="F58" s="6">
        <v>36</v>
      </c>
      <c r="G58" s="16" t="s">
        <v>78</v>
      </c>
      <c r="H58" s="16"/>
    </row>
    <row r="59" spans="1:8" x14ac:dyDescent="0.25">
      <c r="A59" s="6">
        <v>37</v>
      </c>
      <c r="B59" s="14" t="s">
        <v>274</v>
      </c>
      <c r="C59" s="14" t="s">
        <v>39</v>
      </c>
      <c r="D59" s="6" t="s">
        <v>249</v>
      </c>
      <c r="E59" s="15">
        <v>5.4814814814814816E-2</v>
      </c>
      <c r="F59" s="6">
        <v>37</v>
      </c>
      <c r="G59" s="16" t="s">
        <v>169</v>
      </c>
      <c r="H59" s="16"/>
    </row>
    <row r="60" spans="1:8" x14ac:dyDescent="0.25">
      <c r="A60" s="6">
        <v>38</v>
      </c>
      <c r="B60" s="14" t="s">
        <v>275</v>
      </c>
      <c r="C60" s="14" t="s">
        <v>185</v>
      </c>
      <c r="D60" s="6" t="s">
        <v>250</v>
      </c>
      <c r="E60" s="15">
        <v>5.4965277777777773E-2</v>
      </c>
      <c r="F60" s="6">
        <v>38</v>
      </c>
      <c r="G60" s="16" t="s">
        <v>169</v>
      </c>
      <c r="H60" s="16"/>
    </row>
    <row r="61" spans="1:8" x14ac:dyDescent="0.25">
      <c r="A61" s="6">
        <v>39</v>
      </c>
      <c r="B61" s="14" t="s">
        <v>276</v>
      </c>
      <c r="C61" s="14" t="s">
        <v>39</v>
      </c>
      <c r="D61" s="6" t="s">
        <v>251</v>
      </c>
      <c r="E61" s="15">
        <v>5.5057870370370375E-2</v>
      </c>
      <c r="F61" s="6">
        <v>39</v>
      </c>
      <c r="G61" s="16" t="s">
        <v>78</v>
      </c>
      <c r="H61" s="16"/>
    </row>
    <row r="62" spans="1:8" x14ac:dyDescent="0.25">
      <c r="A62" s="6">
        <v>40</v>
      </c>
      <c r="B62" s="14" t="s">
        <v>277</v>
      </c>
      <c r="C62" s="14" t="s">
        <v>65</v>
      </c>
      <c r="D62" s="6" t="s">
        <v>252</v>
      </c>
      <c r="E62" s="15">
        <v>5.5509259259259258E-2</v>
      </c>
      <c r="F62" s="6">
        <v>40</v>
      </c>
      <c r="G62" s="16" t="s">
        <v>169</v>
      </c>
      <c r="H62" s="16"/>
    </row>
    <row r="63" spans="1:8" x14ac:dyDescent="0.25">
      <c r="A63" s="6">
        <v>41</v>
      </c>
      <c r="B63" s="14" t="s">
        <v>288</v>
      </c>
      <c r="C63" s="14" t="s">
        <v>83</v>
      </c>
      <c r="D63" s="6" t="s">
        <v>253</v>
      </c>
      <c r="E63" s="15">
        <v>5.6168981481481479E-2</v>
      </c>
      <c r="F63" s="6">
        <v>41</v>
      </c>
      <c r="G63" s="16" t="s">
        <v>78</v>
      </c>
      <c r="H63" s="16"/>
    </row>
    <row r="64" spans="1:8" x14ac:dyDescent="0.25">
      <c r="A64" s="6">
        <v>42</v>
      </c>
      <c r="B64" s="14" t="s">
        <v>278</v>
      </c>
      <c r="C64" s="14" t="s">
        <v>65</v>
      </c>
      <c r="D64" s="6" t="s">
        <v>254</v>
      </c>
      <c r="E64" s="15">
        <v>5.7152777777777775E-2</v>
      </c>
      <c r="F64" s="6">
        <v>42</v>
      </c>
      <c r="G64" s="16" t="s">
        <v>78</v>
      </c>
      <c r="H64" s="16"/>
    </row>
    <row r="65" spans="1:8" x14ac:dyDescent="0.25">
      <c r="A65" s="6">
        <v>43</v>
      </c>
      <c r="B65" s="14" t="s">
        <v>289</v>
      </c>
      <c r="C65" s="14" t="s">
        <v>65</v>
      </c>
      <c r="D65" s="6" t="s">
        <v>255</v>
      </c>
      <c r="E65" s="15">
        <v>6.0312499999999998E-2</v>
      </c>
      <c r="F65" s="6">
        <v>43</v>
      </c>
      <c r="G65" s="16" t="s">
        <v>169</v>
      </c>
      <c r="H65" s="16"/>
    </row>
    <row r="66" spans="1:8" x14ac:dyDescent="0.25">
      <c r="A66" s="6">
        <v>44</v>
      </c>
      <c r="B66" s="14" t="s">
        <v>279</v>
      </c>
      <c r="C66" s="14" t="s">
        <v>39</v>
      </c>
      <c r="D66" s="6" t="s">
        <v>256</v>
      </c>
      <c r="E66" s="15">
        <v>6.1724537037037036E-2</v>
      </c>
      <c r="F66" s="6">
        <v>44</v>
      </c>
      <c r="G66" s="16" t="s">
        <v>78</v>
      </c>
      <c r="H66" s="16"/>
    </row>
    <row r="67" spans="1:8" x14ac:dyDescent="0.25">
      <c r="A67" s="6">
        <v>45</v>
      </c>
      <c r="B67" s="14" t="s">
        <v>280</v>
      </c>
      <c r="C67" s="14" t="s">
        <v>168</v>
      </c>
      <c r="D67" s="6" t="s">
        <v>257</v>
      </c>
      <c r="E67" s="15">
        <v>6.2268518518518522E-2</v>
      </c>
      <c r="F67" s="6">
        <v>45</v>
      </c>
      <c r="G67" s="16" t="s">
        <v>169</v>
      </c>
      <c r="H67" s="16"/>
    </row>
    <row r="68" spans="1:8" x14ac:dyDescent="0.25">
      <c r="A68" s="6">
        <v>46</v>
      </c>
      <c r="B68" s="14" t="s">
        <v>281</v>
      </c>
      <c r="C68" s="14" t="s">
        <v>65</v>
      </c>
      <c r="D68" s="6" t="s">
        <v>258</v>
      </c>
      <c r="E68" s="15">
        <v>6.3206018518518522E-2</v>
      </c>
      <c r="F68" s="6">
        <v>46</v>
      </c>
      <c r="G68" s="16" t="s">
        <v>78</v>
      </c>
      <c r="H68" s="16"/>
    </row>
    <row r="69" spans="1:8" x14ac:dyDescent="0.25">
      <c r="A69" s="6">
        <v>47</v>
      </c>
      <c r="B69" s="14" t="s">
        <v>282</v>
      </c>
      <c r="C69" s="14" t="s">
        <v>18</v>
      </c>
      <c r="D69" s="6" t="s">
        <v>259</v>
      </c>
      <c r="E69" s="15">
        <v>6.3344907407407405E-2</v>
      </c>
      <c r="F69" s="6">
        <v>47</v>
      </c>
      <c r="G69" s="16" t="s">
        <v>169</v>
      </c>
      <c r="H69" s="16"/>
    </row>
    <row r="70" spans="1:8" x14ac:dyDescent="0.25">
      <c r="A70" s="6">
        <v>48</v>
      </c>
      <c r="B70" s="14" t="s">
        <v>283</v>
      </c>
      <c r="C70" s="14" t="s">
        <v>83</v>
      </c>
      <c r="D70" s="6" t="s">
        <v>260</v>
      </c>
      <c r="E70" s="15">
        <v>6.3796296296296295E-2</v>
      </c>
      <c r="F70" s="6">
        <v>48</v>
      </c>
      <c r="G70" s="16" t="s">
        <v>169</v>
      </c>
      <c r="H70" s="16"/>
    </row>
    <row r="71" spans="1:8" x14ac:dyDescent="0.25">
      <c r="A71" s="6">
        <v>49</v>
      </c>
      <c r="B71" s="14" t="s">
        <v>290</v>
      </c>
      <c r="C71" s="14" t="s">
        <v>13</v>
      </c>
      <c r="D71" s="6">
        <v>110</v>
      </c>
      <c r="E71" s="15">
        <v>6.4560185185185193E-2</v>
      </c>
      <c r="F71" s="6">
        <v>49</v>
      </c>
      <c r="G71" s="16" t="s">
        <v>169</v>
      </c>
      <c r="H71" s="16"/>
    </row>
    <row r="72" spans="1:8" x14ac:dyDescent="0.25">
      <c r="A72" s="6">
        <v>50</v>
      </c>
      <c r="B72" s="14" t="s">
        <v>291</v>
      </c>
      <c r="C72" s="14" t="s">
        <v>83</v>
      </c>
      <c r="D72" s="6" t="s">
        <v>261</v>
      </c>
      <c r="E72" s="15">
        <v>6.7233796296296292E-2</v>
      </c>
      <c r="F72" s="6">
        <v>50</v>
      </c>
      <c r="G72" s="16" t="s">
        <v>169</v>
      </c>
      <c r="H72" s="16"/>
    </row>
    <row r="73" spans="1:8" x14ac:dyDescent="0.25">
      <c r="A73" s="6">
        <v>51</v>
      </c>
      <c r="B73" s="14" t="s">
        <v>284</v>
      </c>
      <c r="C73" s="14" t="s">
        <v>83</v>
      </c>
      <c r="D73" s="6" t="s">
        <v>262</v>
      </c>
      <c r="E73" s="15">
        <v>8.1701388888888893E-2</v>
      </c>
      <c r="F73" s="6">
        <v>51</v>
      </c>
      <c r="G73" s="16" t="s">
        <v>169</v>
      </c>
      <c r="H73" s="16"/>
    </row>
    <row r="75" spans="1:8" x14ac:dyDescent="0.25">
      <c r="B75" s="2" t="s">
        <v>187</v>
      </c>
      <c r="C75" s="2"/>
    </row>
    <row r="76" spans="1:8" x14ac:dyDescent="0.25">
      <c r="B76" s="2" t="s">
        <v>188</v>
      </c>
      <c r="C76" s="2"/>
    </row>
    <row r="77" spans="1:8" x14ac:dyDescent="0.25">
      <c r="B77" s="2" t="s">
        <v>189</v>
      </c>
      <c r="C77" s="2"/>
    </row>
    <row r="78" spans="1:8" x14ac:dyDescent="0.25">
      <c r="B78" s="2" t="s">
        <v>292</v>
      </c>
      <c r="C78" s="2"/>
    </row>
    <row r="79" spans="1:8" x14ac:dyDescent="0.25">
      <c r="B79" s="2"/>
      <c r="C79" s="2"/>
    </row>
    <row r="80" spans="1:8" x14ac:dyDescent="0.25">
      <c r="B80" s="2" t="s">
        <v>29</v>
      </c>
      <c r="C80" s="8" t="s">
        <v>42</v>
      </c>
    </row>
    <row r="81" spans="2:3" x14ac:dyDescent="0.25">
      <c r="B81" s="2" t="s">
        <v>30</v>
      </c>
      <c r="C81" s="8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topLeftCell="A14" workbookViewId="0">
      <selection activeCell="C76" sqref="C76"/>
    </sheetView>
  </sheetViews>
  <sheetFormatPr defaultRowHeight="13.2" x14ac:dyDescent="0.25"/>
  <cols>
    <col min="1" max="1" width="8.33203125" style="1" customWidth="1"/>
    <col min="2" max="2" width="20" style="1" customWidth="1"/>
    <col min="3" max="3" width="22.77734375" style="1" customWidth="1"/>
    <col min="4" max="4" width="11.44140625" style="1" customWidth="1"/>
    <col min="5" max="5" width="8" style="1" customWidth="1"/>
    <col min="6" max="6" width="10.6640625" style="1" customWidth="1"/>
    <col min="7" max="7" width="14.109375" style="1" customWidth="1"/>
    <col min="8" max="9" width="9.33203125" style="1" customWidth="1"/>
    <col min="10" max="10" width="14.21875" style="1" customWidth="1"/>
    <col min="11" max="16384" width="8.88671875" style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4" spans="1:1" x14ac:dyDescent="0.25">
      <c r="A4" s="1" t="s">
        <v>31</v>
      </c>
    </row>
    <row r="5" spans="1:1" x14ac:dyDescent="0.25">
      <c r="A5" s="1" t="s">
        <v>32</v>
      </c>
    </row>
    <row r="7" spans="1:1" x14ac:dyDescent="0.25">
      <c r="A7" s="1" t="s">
        <v>139</v>
      </c>
    </row>
    <row r="8" spans="1:1" x14ac:dyDescent="0.25">
      <c r="A8" s="1" t="s">
        <v>294</v>
      </c>
    </row>
    <row r="10" spans="1:1" x14ac:dyDescent="0.25">
      <c r="A10" s="1" t="s">
        <v>293</v>
      </c>
    </row>
    <row r="11" spans="1:1" x14ac:dyDescent="0.25">
      <c r="A11" s="1" t="s">
        <v>142</v>
      </c>
    </row>
    <row r="13" spans="1:1" x14ac:dyDescent="0.25">
      <c r="A13" s="1" t="s">
        <v>295</v>
      </c>
    </row>
    <row r="14" spans="1:1" x14ac:dyDescent="0.25">
      <c r="A14" s="1" t="s">
        <v>296</v>
      </c>
    </row>
    <row r="15" spans="1:1" x14ac:dyDescent="0.25">
      <c r="A15" s="1" t="s">
        <v>297</v>
      </c>
    </row>
    <row r="16" spans="1:1" x14ac:dyDescent="0.25">
      <c r="A16" s="1" t="s">
        <v>298</v>
      </c>
    </row>
    <row r="18" spans="1:10" x14ac:dyDescent="0.25">
      <c r="A18" s="1" t="s">
        <v>299</v>
      </c>
    </row>
    <row r="20" spans="1:10" x14ac:dyDescent="0.25">
      <c r="A20" s="1" t="s">
        <v>147</v>
      </c>
    </row>
    <row r="21" spans="1:10" ht="13.8" thickBot="1" x14ac:dyDescent="0.3"/>
    <row r="22" spans="1:10" ht="40.200000000000003" thickBot="1" x14ac:dyDescent="0.3">
      <c r="A22" s="38" t="s">
        <v>33</v>
      </c>
      <c r="B22" s="39" t="s">
        <v>6</v>
      </c>
      <c r="C22" s="39" t="s">
        <v>148</v>
      </c>
      <c r="D22" s="39" t="s">
        <v>149</v>
      </c>
      <c r="E22" s="39" t="s">
        <v>151</v>
      </c>
      <c r="F22" s="39" t="s">
        <v>300</v>
      </c>
      <c r="G22" s="39" t="s">
        <v>301</v>
      </c>
      <c r="H22" s="39" t="s">
        <v>34</v>
      </c>
      <c r="I22" s="39" t="s">
        <v>302</v>
      </c>
      <c r="J22" s="40" t="s">
        <v>152</v>
      </c>
    </row>
    <row r="23" spans="1:10" x14ac:dyDescent="0.25">
      <c r="A23" s="18">
        <v>1</v>
      </c>
      <c r="B23" s="19" t="s">
        <v>9</v>
      </c>
      <c r="C23" s="19" t="s">
        <v>165</v>
      </c>
      <c r="D23" s="20">
        <v>105</v>
      </c>
      <c r="E23" s="20" t="s">
        <v>78</v>
      </c>
      <c r="F23" s="21">
        <v>4.4143518518518519E-2</v>
      </c>
      <c r="G23" s="21">
        <f>F23</f>
        <v>4.4143518518518519E-2</v>
      </c>
      <c r="H23" s="20"/>
      <c r="I23" s="20"/>
      <c r="J23" s="22" t="s">
        <v>78</v>
      </c>
    </row>
    <row r="24" spans="1:10" x14ac:dyDescent="0.25">
      <c r="A24" s="23"/>
      <c r="B24" s="24"/>
      <c r="C24" s="24" t="s">
        <v>157</v>
      </c>
      <c r="D24" s="25">
        <v>205</v>
      </c>
      <c r="E24" s="25" t="s">
        <v>78</v>
      </c>
      <c r="F24" s="26">
        <v>4.1851851851851855E-2</v>
      </c>
      <c r="G24" s="26">
        <f>F23+F24</f>
        <v>8.5995370370370375E-2</v>
      </c>
      <c r="H24" s="25"/>
      <c r="I24" s="25"/>
      <c r="J24" s="27" t="s">
        <v>78</v>
      </c>
    </row>
    <row r="25" spans="1:10" x14ac:dyDescent="0.25">
      <c r="A25" s="23"/>
      <c r="B25" s="24"/>
      <c r="C25" s="24" t="s">
        <v>154</v>
      </c>
      <c r="D25" s="25">
        <v>305</v>
      </c>
      <c r="E25" s="25" t="s">
        <v>78</v>
      </c>
      <c r="F25" s="26">
        <v>4.2222222222222223E-2</v>
      </c>
      <c r="G25" s="26">
        <f>F23+F24+F25</f>
        <v>0.12821759259259261</v>
      </c>
      <c r="H25" s="25"/>
      <c r="I25" s="25"/>
      <c r="J25" s="27" t="s">
        <v>78</v>
      </c>
    </row>
    <row r="26" spans="1:10" x14ac:dyDescent="0.25">
      <c r="A26" s="23"/>
      <c r="B26" s="24"/>
      <c r="C26" s="24" t="s">
        <v>56</v>
      </c>
      <c r="D26" s="25">
        <v>405</v>
      </c>
      <c r="E26" s="25" t="s">
        <v>78</v>
      </c>
      <c r="F26" s="26">
        <v>3.7499999999999999E-2</v>
      </c>
      <c r="G26" s="26">
        <f>G25+F26</f>
        <v>0.16571759259259261</v>
      </c>
      <c r="H26" s="25">
        <v>1</v>
      </c>
      <c r="I26" s="25">
        <v>1</v>
      </c>
      <c r="J26" s="27" t="s">
        <v>78</v>
      </c>
    </row>
    <row r="27" spans="1:10" x14ac:dyDescent="0.25">
      <c r="A27" s="23"/>
      <c r="B27" s="24"/>
      <c r="C27" s="24"/>
      <c r="D27" s="25"/>
      <c r="E27" s="25"/>
      <c r="F27" s="25"/>
      <c r="G27" s="25"/>
      <c r="H27" s="25"/>
      <c r="I27" s="25"/>
      <c r="J27" s="27"/>
    </row>
    <row r="28" spans="1:10" x14ac:dyDescent="0.25">
      <c r="A28" s="23">
        <v>2</v>
      </c>
      <c r="B28" s="24" t="s">
        <v>40</v>
      </c>
      <c r="C28" s="24" t="s">
        <v>47</v>
      </c>
      <c r="D28" s="25">
        <v>101</v>
      </c>
      <c r="E28" s="25" t="s">
        <v>78</v>
      </c>
      <c r="F28" s="26">
        <v>4.5856481481481477E-2</v>
      </c>
      <c r="G28" s="26">
        <f>F28</f>
        <v>4.5856481481481477E-2</v>
      </c>
      <c r="H28" s="25"/>
      <c r="I28" s="25"/>
      <c r="J28" s="27" t="s">
        <v>78</v>
      </c>
    </row>
    <row r="29" spans="1:10" x14ac:dyDescent="0.25">
      <c r="A29" s="23"/>
      <c r="B29" s="24"/>
      <c r="C29" s="24" t="s">
        <v>159</v>
      </c>
      <c r="D29" s="25">
        <v>201</v>
      </c>
      <c r="E29" s="25" t="s">
        <v>78</v>
      </c>
      <c r="F29" s="26">
        <v>4.1979166666666672E-2</v>
      </c>
      <c r="G29" s="26">
        <f>F28+F29</f>
        <v>8.7835648148148149E-2</v>
      </c>
      <c r="H29" s="25"/>
      <c r="I29" s="25"/>
      <c r="J29" s="27" t="s">
        <v>78</v>
      </c>
    </row>
    <row r="30" spans="1:10" x14ac:dyDescent="0.25">
      <c r="A30" s="23"/>
      <c r="B30" s="24"/>
      <c r="C30" s="24" t="s">
        <v>153</v>
      </c>
      <c r="D30" s="25">
        <v>301</v>
      </c>
      <c r="E30" s="25" t="s">
        <v>78</v>
      </c>
      <c r="F30" s="26">
        <v>4.1574074074074076E-2</v>
      </c>
      <c r="G30" s="26">
        <f>F28+F29+F30</f>
        <v>0.12940972222222222</v>
      </c>
      <c r="H30" s="25"/>
      <c r="I30" s="25"/>
      <c r="J30" s="27" t="s">
        <v>78</v>
      </c>
    </row>
    <row r="31" spans="1:10" x14ac:dyDescent="0.25">
      <c r="A31" s="23"/>
      <c r="B31" s="24"/>
      <c r="C31" s="24" t="s">
        <v>160</v>
      </c>
      <c r="D31" s="25">
        <v>401</v>
      </c>
      <c r="E31" s="25" t="s">
        <v>78</v>
      </c>
      <c r="F31" s="26">
        <v>3.9166666666666662E-2</v>
      </c>
      <c r="G31" s="26">
        <f>G30+F31</f>
        <v>0.16857638888888887</v>
      </c>
      <c r="H31" s="25">
        <v>2</v>
      </c>
      <c r="I31" s="25">
        <v>2</v>
      </c>
      <c r="J31" s="27" t="s">
        <v>78</v>
      </c>
    </row>
    <row r="32" spans="1:10" x14ac:dyDescent="0.25">
      <c r="A32" s="23"/>
      <c r="B32" s="24"/>
      <c r="C32" s="24"/>
      <c r="D32" s="25"/>
      <c r="E32" s="25"/>
      <c r="F32" s="25"/>
      <c r="G32" s="25"/>
      <c r="H32" s="25"/>
      <c r="I32" s="25"/>
      <c r="J32" s="27"/>
    </row>
    <row r="33" spans="1:10" x14ac:dyDescent="0.25">
      <c r="A33" s="23">
        <v>3</v>
      </c>
      <c r="B33" s="24" t="s">
        <v>11</v>
      </c>
      <c r="C33" s="24" t="s">
        <v>107</v>
      </c>
      <c r="D33" s="25">
        <v>102</v>
      </c>
      <c r="E33" s="25" t="s">
        <v>78</v>
      </c>
      <c r="F33" s="26">
        <v>4.2349537037037033E-2</v>
      </c>
      <c r="G33" s="26">
        <f>F33</f>
        <v>4.2349537037037033E-2</v>
      </c>
      <c r="H33" s="25"/>
      <c r="I33" s="25"/>
      <c r="J33" s="27" t="s">
        <v>78</v>
      </c>
    </row>
    <row r="34" spans="1:10" x14ac:dyDescent="0.25">
      <c r="A34" s="23"/>
      <c r="B34" s="24"/>
      <c r="C34" s="24" t="s">
        <v>180</v>
      </c>
      <c r="D34" s="25">
        <v>202</v>
      </c>
      <c r="E34" s="25" t="s">
        <v>78</v>
      </c>
      <c r="F34" s="26">
        <v>4.3518518518518519E-2</v>
      </c>
      <c r="G34" s="26">
        <f>F33+F34</f>
        <v>8.5868055555555545E-2</v>
      </c>
      <c r="H34" s="25"/>
      <c r="I34" s="25"/>
      <c r="J34" s="27" t="s">
        <v>78</v>
      </c>
    </row>
    <row r="35" spans="1:10" x14ac:dyDescent="0.25">
      <c r="A35" s="23"/>
      <c r="B35" s="24"/>
      <c r="C35" s="24" t="s">
        <v>155</v>
      </c>
      <c r="D35" s="25">
        <v>302</v>
      </c>
      <c r="E35" s="25" t="s">
        <v>78</v>
      </c>
      <c r="F35" s="26">
        <v>4.3564814814814813E-2</v>
      </c>
      <c r="G35" s="26">
        <f>F33+F34+F35</f>
        <v>0.12943287037037035</v>
      </c>
      <c r="H35" s="25"/>
      <c r="I35" s="25"/>
      <c r="J35" s="27" t="s">
        <v>78</v>
      </c>
    </row>
    <row r="36" spans="1:10" x14ac:dyDescent="0.25">
      <c r="A36" s="23"/>
      <c r="B36" s="24"/>
      <c r="C36" s="24" t="s">
        <v>171</v>
      </c>
      <c r="D36" s="25">
        <v>403</v>
      </c>
      <c r="E36" s="25" t="s">
        <v>78</v>
      </c>
      <c r="F36" s="26">
        <v>4.445601851851852E-2</v>
      </c>
      <c r="G36" s="26">
        <f>G35+F36</f>
        <v>0.17388888888888887</v>
      </c>
      <c r="H36" s="25">
        <v>3</v>
      </c>
      <c r="I36" s="25">
        <v>3</v>
      </c>
      <c r="J36" s="27" t="s">
        <v>78</v>
      </c>
    </row>
    <row r="37" spans="1:10" x14ac:dyDescent="0.25">
      <c r="A37" s="23"/>
      <c r="B37" s="24"/>
      <c r="C37" s="24"/>
      <c r="D37" s="25"/>
      <c r="E37" s="25"/>
      <c r="F37" s="25"/>
      <c r="G37" s="25"/>
      <c r="H37" s="25"/>
      <c r="I37" s="25"/>
      <c r="J37" s="27"/>
    </row>
    <row r="38" spans="1:10" x14ac:dyDescent="0.25">
      <c r="A38" s="23">
        <v>4</v>
      </c>
      <c r="B38" s="24" t="s">
        <v>16</v>
      </c>
      <c r="C38" s="24" t="s">
        <v>174</v>
      </c>
      <c r="D38" s="25">
        <v>108</v>
      </c>
      <c r="E38" s="25" t="s">
        <v>78</v>
      </c>
      <c r="F38" s="26">
        <v>4.6770833333333338E-2</v>
      </c>
      <c r="G38" s="26">
        <f t="shared" ref="G38" si="0">F38</f>
        <v>4.6770833333333338E-2</v>
      </c>
      <c r="H38" s="25"/>
      <c r="I38" s="25"/>
      <c r="J38" s="27" t="s">
        <v>169</v>
      </c>
    </row>
    <row r="39" spans="1:10" x14ac:dyDescent="0.25">
      <c r="A39" s="23"/>
      <c r="B39" s="24"/>
      <c r="C39" s="24" t="s">
        <v>100</v>
      </c>
      <c r="D39" s="25">
        <v>208</v>
      </c>
      <c r="E39" s="25" t="s">
        <v>78</v>
      </c>
      <c r="F39" s="26">
        <v>4.1712962962962959E-2</v>
      </c>
      <c r="G39" s="26">
        <f t="shared" ref="G39" si="1">F38+F39</f>
        <v>8.8483796296296297E-2</v>
      </c>
      <c r="H39" s="25"/>
      <c r="I39" s="25"/>
      <c r="J39" s="27" t="s">
        <v>169</v>
      </c>
    </row>
    <row r="40" spans="1:10" x14ac:dyDescent="0.25">
      <c r="A40" s="23"/>
      <c r="B40" s="24"/>
      <c r="C40" s="24" t="s">
        <v>82</v>
      </c>
      <c r="D40" s="25">
        <v>308</v>
      </c>
      <c r="E40" s="25" t="s">
        <v>78</v>
      </c>
      <c r="F40" s="26">
        <v>4.4965277777777778E-2</v>
      </c>
      <c r="G40" s="26">
        <f t="shared" ref="G40" si="2">F38+F39+F40</f>
        <v>0.13344907407407408</v>
      </c>
      <c r="H40" s="25"/>
      <c r="I40" s="25"/>
      <c r="J40" s="27" t="s">
        <v>169</v>
      </c>
    </row>
    <row r="41" spans="1:10" x14ac:dyDescent="0.25">
      <c r="A41" s="23"/>
      <c r="B41" s="24"/>
      <c r="C41" s="24" t="s">
        <v>162</v>
      </c>
      <c r="D41" s="28">
        <v>408</v>
      </c>
      <c r="E41" s="25" t="s">
        <v>78</v>
      </c>
      <c r="F41" s="29">
        <v>4.2152777777777782E-2</v>
      </c>
      <c r="G41" s="26">
        <f t="shared" ref="G41" si="3">G40+F41</f>
        <v>0.17560185185185187</v>
      </c>
      <c r="H41" s="25">
        <v>4</v>
      </c>
      <c r="I41" s="25">
        <v>4</v>
      </c>
      <c r="J41" s="30" t="s">
        <v>169</v>
      </c>
    </row>
    <row r="42" spans="1:10" x14ac:dyDescent="0.25">
      <c r="A42" s="23"/>
      <c r="B42" s="24"/>
      <c r="C42" s="24"/>
      <c r="D42" s="28"/>
      <c r="E42" s="28"/>
      <c r="F42" s="28"/>
      <c r="G42" s="25"/>
      <c r="H42" s="25"/>
      <c r="I42" s="25"/>
      <c r="J42" s="30"/>
    </row>
    <row r="43" spans="1:10" x14ac:dyDescent="0.25">
      <c r="A43" s="23">
        <v>5</v>
      </c>
      <c r="B43" s="24" t="s">
        <v>12</v>
      </c>
      <c r="C43" s="24" t="s">
        <v>166</v>
      </c>
      <c r="D43" s="28">
        <v>103</v>
      </c>
      <c r="E43" s="25" t="s">
        <v>78</v>
      </c>
      <c r="F43" s="29">
        <v>4.1863425925925929E-2</v>
      </c>
      <c r="G43" s="26">
        <f t="shared" ref="G43" si="4">F43</f>
        <v>4.1863425925925929E-2</v>
      </c>
      <c r="H43" s="25"/>
      <c r="I43" s="25"/>
      <c r="J43" s="27" t="s">
        <v>169</v>
      </c>
    </row>
    <row r="44" spans="1:10" x14ac:dyDescent="0.25">
      <c r="A44" s="23"/>
      <c r="B44" s="24"/>
      <c r="C44" s="24" t="s">
        <v>158</v>
      </c>
      <c r="D44" s="28">
        <v>203</v>
      </c>
      <c r="E44" s="25" t="s">
        <v>78</v>
      </c>
      <c r="F44" s="29">
        <v>4.4641203703703704E-2</v>
      </c>
      <c r="G44" s="26">
        <f t="shared" ref="G44" si="5">F43+F44</f>
        <v>8.6504629629629626E-2</v>
      </c>
      <c r="H44" s="25"/>
      <c r="I44" s="25"/>
      <c r="J44" s="27" t="s">
        <v>169</v>
      </c>
    </row>
    <row r="45" spans="1:10" x14ac:dyDescent="0.25">
      <c r="A45" s="23"/>
      <c r="B45" s="24"/>
      <c r="C45" s="24" t="s">
        <v>156</v>
      </c>
      <c r="D45" s="28">
        <v>303</v>
      </c>
      <c r="E45" s="25" t="s">
        <v>78</v>
      </c>
      <c r="F45" s="29">
        <v>4.4861111111111109E-2</v>
      </c>
      <c r="G45" s="26">
        <f t="shared" ref="G45" si="6">F43+F44+F45</f>
        <v>0.13136574074074073</v>
      </c>
      <c r="H45" s="25"/>
      <c r="I45" s="25"/>
      <c r="J45" s="27" t="s">
        <v>169</v>
      </c>
    </row>
    <row r="46" spans="1:10" x14ac:dyDescent="0.25">
      <c r="A46" s="23"/>
      <c r="B46" s="24"/>
      <c r="C46" s="24" t="s">
        <v>49</v>
      </c>
      <c r="D46" s="28">
        <v>403</v>
      </c>
      <c r="E46" s="25" t="s">
        <v>78</v>
      </c>
      <c r="F46" s="29">
        <v>4.7060185185185184E-2</v>
      </c>
      <c r="G46" s="26">
        <f t="shared" ref="G46" si="7">G45+F46</f>
        <v>0.1784259259259259</v>
      </c>
      <c r="H46" s="25">
        <v>5</v>
      </c>
      <c r="I46" s="25">
        <v>5</v>
      </c>
      <c r="J46" s="30" t="s">
        <v>169</v>
      </c>
    </row>
    <row r="47" spans="1:10" x14ac:dyDescent="0.25">
      <c r="A47" s="23"/>
      <c r="B47" s="24"/>
      <c r="C47" s="24"/>
      <c r="D47" s="28"/>
      <c r="E47" s="28"/>
      <c r="F47" s="28"/>
      <c r="G47" s="25"/>
      <c r="H47" s="25"/>
      <c r="I47" s="25"/>
      <c r="J47" s="30"/>
    </row>
    <row r="48" spans="1:10" x14ac:dyDescent="0.25">
      <c r="A48" s="23">
        <v>6</v>
      </c>
      <c r="B48" s="24" t="s">
        <v>14</v>
      </c>
      <c r="C48" s="24" t="s">
        <v>97</v>
      </c>
      <c r="D48" s="28">
        <v>104</v>
      </c>
      <c r="E48" s="25" t="s">
        <v>78</v>
      </c>
      <c r="F48" s="29">
        <v>4.2326388888888893E-2</v>
      </c>
      <c r="G48" s="26">
        <f t="shared" ref="G48" si="8">F48</f>
        <v>4.2326388888888893E-2</v>
      </c>
      <c r="H48" s="25"/>
      <c r="I48" s="25"/>
      <c r="J48" s="30" t="s">
        <v>169</v>
      </c>
    </row>
    <row r="49" spans="1:10" x14ac:dyDescent="0.25">
      <c r="A49" s="23"/>
      <c r="B49" s="24"/>
      <c r="C49" s="24" t="s">
        <v>52</v>
      </c>
      <c r="D49" s="28">
        <v>204</v>
      </c>
      <c r="E49" s="25" t="s">
        <v>78</v>
      </c>
      <c r="F49" s="29">
        <v>4.7569444444444442E-2</v>
      </c>
      <c r="G49" s="26">
        <f t="shared" ref="G49" si="9">F48+F49</f>
        <v>8.9895833333333341E-2</v>
      </c>
      <c r="H49" s="25"/>
      <c r="I49" s="25"/>
      <c r="J49" s="30" t="s">
        <v>169</v>
      </c>
    </row>
    <row r="50" spans="1:10" x14ac:dyDescent="0.25">
      <c r="A50" s="23"/>
      <c r="B50" s="24"/>
      <c r="C50" s="24" t="s">
        <v>161</v>
      </c>
      <c r="D50" s="28">
        <v>304</v>
      </c>
      <c r="E50" s="25" t="s">
        <v>78</v>
      </c>
      <c r="F50" s="29">
        <v>4.2152777777777782E-2</v>
      </c>
      <c r="G50" s="26">
        <f t="shared" ref="G50" si="10">F48+F49+F50</f>
        <v>0.13204861111111113</v>
      </c>
      <c r="H50" s="25"/>
      <c r="I50" s="25"/>
      <c r="J50" s="30" t="s">
        <v>169</v>
      </c>
    </row>
    <row r="51" spans="1:10" x14ac:dyDescent="0.25">
      <c r="A51" s="23"/>
      <c r="B51" s="24"/>
      <c r="C51" s="24" t="s">
        <v>69</v>
      </c>
      <c r="D51" s="28">
        <v>404</v>
      </c>
      <c r="E51" s="25" t="s">
        <v>78</v>
      </c>
      <c r="F51" s="29">
        <v>5.0798611111111114E-2</v>
      </c>
      <c r="G51" s="26">
        <f t="shared" ref="G51" si="11">G50+F51</f>
        <v>0.18284722222222224</v>
      </c>
      <c r="H51" s="25">
        <v>6</v>
      </c>
      <c r="I51" s="25">
        <v>6</v>
      </c>
      <c r="J51" s="30" t="s">
        <v>169</v>
      </c>
    </row>
    <row r="52" spans="1:10" x14ac:dyDescent="0.25">
      <c r="A52" s="23"/>
      <c r="B52" s="24"/>
      <c r="C52" s="24"/>
      <c r="D52" s="28"/>
      <c r="E52" s="28"/>
      <c r="F52" s="28"/>
      <c r="G52" s="25"/>
      <c r="H52" s="25"/>
      <c r="I52" s="25"/>
      <c r="J52" s="30"/>
    </row>
    <row r="53" spans="1:10" x14ac:dyDescent="0.25">
      <c r="A53" s="23">
        <v>7</v>
      </c>
      <c r="B53" s="24" t="s">
        <v>13</v>
      </c>
      <c r="C53" s="24" t="s">
        <v>69</v>
      </c>
      <c r="D53" s="28">
        <v>107</v>
      </c>
      <c r="E53" s="25" t="s">
        <v>78</v>
      </c>
      <c r="F53" s="29">
        <v>4.8946759259259259E-2</v>
      </c>
      <c r="G53" s="26">
        <f t="shared" ref="G53" si="12">F53</f>
        <v>4.8946759259259259E-2</v>
      </c>
      <c r="H53" s="25"/>
      <c r="I53" s="25"/>
      <c r="J53" s="30" t="s">
        <v>169</v>
      </c>
    </row>
    <row r="54" spans="1:10" x14ac:dyDescent="0.25">
      <c r="A54" s="23"/>
      <c r="B54" s="24"/>
      <c r="C54" s="24" t="s">
        <v>136</v>
      </c>
      <c r="D54" s="28">
        <v>207</v>
      </c>
      <c r="E54" s="25" t="s">
        <v>78</v>
      </c>
      <c r="F54" s="29">
        <v>4.9027777777777781E-2</v>
      </c>
      <c r="G54" s="26">
        <f t="shared" ref="G54" si="13">F53+F54</f>
        <v>9.7974537037037041E-2</v>
      </c>
      <c r="H54" s="25"/>
      <c r="I54" s="25"/>
      <c r="J54" s="30" t="s">
        <v>169</v>
      </c>
    </row>
    <row r="55" spans="1:10" x14ac:dyDescent="0.25">
      <c r="A55" s="23"/>
      <c r="B55" s="24"/>
      <c r="C55" s="24" t="s">
        <v>93</v>
      </c>
      <c r="D55" s="28">
        <v>307</v>
      </c>
      <c r="E55" s="25" t="s">
        <v>78</v>
      </c>
      <c r="F55" s="29">
        <v>4.2453703703703709E-2</v>
      </c>
      <c r="G55" s="26">
        <f t="shared" ref="G55" si="14">F53+F54+F55</f>
        <v>0.14042824074074076</v>
      </c>
      <c r="H55" s="25"/>
      <c r="I55" s="25"/>
      <c r="J55" s="30" t="s">
        <v>169</v>
      </c>
    </row>
    <row r="56" spans="1:10" x14ac:dyDescent="0.25">
      <c r="A56" s="23"/>
      <c r="B56" s="24"/>
      <c r="C56" s="24" t="s">
        <v>71</v>
      </c>
      <c r="D56" s="28">
        <v>407</v>
      </c>
      <c r="E56" s="25" t="s">
        <v>78</v>
      </c>
      <c r="F56" s="29">
        <v>4.4016203703703703E-2</v>
      </c>
      <c r="G56" s="26">
        <f t="shared" ref="G56" si="15">G55+F56</f>
        <v>0.18444444444444447</v>
      </c>
      <c r="H56" s="25">
        <v>7</v>
      </c>
      <c r="I56" s="25">
        <v>7</v>
      </c>
      <c r="J56" s="30" t="s">
        <v>169</v>
      </c>
    </row>
    <row r="57" spans="1:10" x14ac:dyDescent="0.25">
      <c r="A57" s="23"/>
      <c r="B57" s="24"/>
      <c r="C57" s="24"/>
      <c r="D57" s="28"/>
      <c r="E57" s="28"/>
      <c r="F57" s="28"/>
      <c r="G57" s="25"/>
      <c r="H57" s="25"/>
      <c r="I57" s="25"/>
      <c r="J57" s="30"/>
    </row>
    <row r="58" spans="1:10" x14ac:dyDescent="0.25">
      <c r="A58" s="23">
        <v>8</v>
      </c>
      <c r="B58" s="24" t="s">
        <v>18</v>
      </c>
      <c r="C58" s="24" t="s">
        <v>115</v>
      </c>
      <c r="D58" s="28">
        <v>106</v>
      </c>
      <c r="E58" s="28" t="s">
        <v>169</v>
      </c>
      <c r="F58" s="29">
        <v>5.0416666666666665E-2</v>
      </c>
      <c r="G58" s="26">
        <f t="shared" ref="G58" si="16">F58</f>
        <v>5.0416666666666665E-2</v>
      </c>
      <c r="H58" s="25"/>
      <c r="I58" s="25"/>
      <c r="J58" s="30" t="s">
        <v>169</v>
      </c>
    </row>
    <row r="59" spans="1:10" x14ac:dyDescent="0.25">
      <c r="A59" s="23"/>
      <c r="B59" s="24"/>
      <c r="C59" s="24" t="s">
        <v>172</v>
      </c>
      <c r="D59" s="28">
        <v>206</v>
      </c>
      <c r="E59" s="25" t="s">
        <v>78</v>
      </c>
      <c r="F59" s="29">
        <v>5.1145833333333335E-2</v>
      </c>
      <c r="G59" s="26">
        <f t="shared" ref="G59" si="17">F58+F59</f>
        <v>0.1015625</v>
      </c>
      <c r="H59" s="25"/>
      <c r="I59" s="25"/>
      <c r="J59" s="30" t="s">
        <v>169</v>
      </c>
    </row>
    <row r="60" spans="1:10" x14ac:dyDescent="0.25">
      <c r="A60" s="23"/>
      <c r="B60" s="24"/>
      <c r="C60" s="24" t="s">
        <v>127</v>
      </c>
      <c r="D60" s="28">
        <v>306</v>
      </c>
      <c r="E60" s="25" t="s">
        <v>78</v>
      </c>
      <c r="F60" s="29">
        <v>4.6875E-2</v>
      </c>
      <c r="G60" s="26">
        <f t="shared" ref="G60" si="18">F58+F59+F60</f>
        <v>0.1484375</v>
      </c>
      <c r="H60" s="25"/>
      <c r="I60" s="25"/>
      <c r="J60" s="30" t="s">
        <v>169</v>
      </c>
    </row>
    <row r="61" spans="1:10" x14ac:dyDescent="0.25">
      <c r="A61" s="23"/>
      <c r="B61" s="24"/>
      <c r="C61" s="24" t="s">
        <v>177</v>
      </c>
      <c r="D61" s="28">
        <v>406</v>
      </c>
      <c r="E61" s="25" t="s">
        <v>78</v>
      </c>
      <c r="F61" s="29">
        <v>4.3784722222222218E-2</v>
      </c>
      <c r="G61" s="26">
        <f t="shared" ref="G61" si="19">G60+F61</f>
        <v>0.19222222222222221</v>
      </c>
      <c r="H61" s="25">
        <v>8</v>
      </c>
      <c r="I61" s="25">
        <v>8</v>
      </c>
      <c r="J61" s="30" t="s">
        <v>169</v>
      </c>
    </row>
    <row r="62" spans="1:10" x14ac:dyDescent="0.25">
      <c r="A62" s="23"/>
      <c r="B62" s="24"/>
      <c r="C62" s="24"/>
      <c r="D62" s="28"/>
      <c r="E62" s="28"/>
      <c r="F62" s="28"/>
      <c r="G62" s="25"/>
      <c r="H62" s="25"/>
      <c r="I62" s="25"/>
      <c r="J62" s="30"/>
    </row>
    <row r="63" spans="1:10" x14ac:dyDescent="0.25">
      <c r="A63" s="23">
        <v>9</v>
      </c>
      <c r="B63" s="24" t="s">
        <v>39</v>
      </c>
      <c r="C63" s="24" t="s">
        <v>164</v>
      </c>
      <c r="D63" s="28">
        <v>109</v>
      </c>
      <c r="E63" s="25" t="s">
        <v>78</v>
      </c>
      <c r="F63" s="29">
        <v>4.9641203703703701E-2</v>
      </c>
      <c r="G63" s="26">
        <f t="shared" ref="G63" si="20">F63</f>
        <v>4.9641203703703701E-2</v>
      </c>
      <c r="H63" s="25"/>
      <c r="I63" s="25"/>
      <c r="J63" s="30"/>
    </row>
    <row r="64" spans="1:10" x14ac:dyDescent="0.25">
      <c r="A64" s="23"/>
      <c r="B64" s="24"/>
      <c r="C64" s="24" t="s">
        <v>179</v>
      </c>
      <c r="D64" s="28">
        <v>209</v>
      </c>
      <c r="E64" s="25" t="s">
        <v>78</v>
      </c>
      <c r="F64" s="31" t="s">
        <v>303</v>
      </c>
      <c r="G64" s="26"/>
      <c r="H64" s="25"/>
      <c r="I64" s="25"/>
      <c r="J64" s="30"/>
    </row>
    <row r="65" spans="1:10" x14ac:dyDescent="0.25">
      <c r="A65" s="23"/>
      <c r="B65" s="24"/>
      <c r="C65" s="24" t="s">
        <v>176</v>
      </c>
      <c r="D65" s="28">
        <v>309</v>
      </c>
      <c r="E65" s="25" t="s">
        <v>78</v>
      </c>
      <c r="F65" s="29">
        <v>4.9652777777777775E-2</v>
      </c>
      <c r="G65" s="26" t="s">
        <v>41</v>
      </c>
      <c r="H65" s="25"/>
      <c r="I65" s="25"/>
      <c r="J65" s="30"/>
    </row>
    <row r="66" spans="1:10" ht="13.8" thickBot="1" x14ac:dyDescent="0.3">
      <c r="A66" s="32"/>
      <c r="B66" s="33"/>
      <c r="C66" s="33" t="s">
        <v>175</v>
      </c>
      <c r="D66" s="34">
        <v>409</v>
      </c>
      <c r="E66" s="35" t="s">
        <v>78</v>
      </c>
      <c r="F66" s="41">
        <v>4.777777777777778E-2</v>
      </c>
      <c r="G66" s="36" t="s">
        <v>41</v>
      </c>
      <c r="H66" s="35"/>
      <c r="I66" s="35">
        <v>12</v>
      </c>
      <c r="J66" s="37"/>
    </row>
    <row r="67" spans="1:10" x14ac:dyDescent="0.25">
      <c r="D67" s="12"/>
      <c r="E67" s="12"/>
      <c r="F67" s="12"/>
      <c r="G67" s="12"/>
      <c r="H67" s="12"/>
      <c r="I67" s="12"/>
      <c r="J67" s="12"/>
    </row>
    <row r="68" spans="1:10" x14ac:dyDescent="0.25">
      <c r="D68" s="12"/>
      <c r="E68" s="12"/>
      <c r="F68" s="12"/>
      <c r="G68" s="12"/>
      <c r="H68" s="12"/>
      <c r="I68" s="12"/>
      <c r="J68" s="12"/>
    </row>
    <row r="69" spans="1:10" x14ac:dyDescent="0.25">
      <c r="B69" s="2" t="s">
        <v>304</v>
      </c>
      <c r="C69" s="2"/>
      <c r="D69" s="12"/>
      <c r="E69" s="12"/>
      <c r="F69" s="12"/>
      <c r="G69" s="12"/>
      <c r="H69" s="12"/>
      <c r="I69" s="12"/>
      <c r="J69" s="12"/>
    </row>
    <row r="70" spans="1:10" x14ac:dyDescent="0.25">
      <c r="B70" s="2" t="s">
        <v>305</v>
      </c>
      <c r="C70" s="2"/>
      <c r="D70" s="12"/>
      <c r="E70" s="12"/>
      <c r="F70" s="12"/>
      <c r="G70" s="12"/>
      <c r="H70" s="12"/>
      <c r="I70" s="12"/>
      <c r="J70" s="12"/>
    </row>
    <row r="71" spans="1:10" x14ac:dyDescent="0.25">
      <c r="B71" s="2" t="s">
        <v>306</v>
      </c>
      <c r="C71" s="2"/>
      <c r="D71" s="12"/>
      <c r="E71" s="12"/>
      <c r="F71" s="12"/>
      <c r="G71" s="12"/>
      <c r="H71" s="12"/>
      <c r="I71" s="12"/>
      <c r="J71" s="12"/>
    </row>
    <row r="72" spans="1:10" x14ac:dyDescent="0.25">
      <c r="B72" s="2" t="s">
        <v>307</v>
      </c>
      <c r="C72" s="2"/>
    </row>
    <row r="73" spans="1:10" x14ac:dyDescent="0.25">
      <c r="B73" s="2"/>
      <c r="C73" s="2"/>
    </row>
    <row r="74" spans="1:10" x14ac:dyDescent="0.25">
      <c r="B74" s="2" t="s">
        <v>29</v>
      </c>
      <c r="C74" s="8" t="s">
        <v>42</v>
      </c>
    </row>
    <row r="75" spans="1:10" x14ac:dyDescent="0.25">
      <c r="B75" s="2" t="s">
        <v>30</v>
      </c>
      <c r="C75" s="8" t="s">
        <v>43</v>
      </c>
    </row>
  </sheetData>
  <sortState ref="B52:C101">
    <sortCondition ref="C5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"/>
  <sheetViews>
    <sheetView topLeftCell="A6" workbookViewId="0">
      <selection activeCell="A19" sqref="A19"/>
    </sheetView>
  </sheetViews>
  <sheetFormatPr defaultRowHeight="13.2" x14ac:dyDescent="0.25"/>
  <cols>
    <col min="1" max="1" width="9.6640625" style="2" customWidth="1"/>
    <col min="2" max="2" width="20.88671875" style="2" customWidth="1"/>
    <col min="3" max="3" width="22.109375" style="2" customWidth="1"/>
    <col min="4" max="4" width="12.21875" style="3" customWidth="1"/>
    <col min="5" max="5" width="10.109375" style="3" customWidth="1"/>
    <col min="6" max="6" width="9.21875" style="3"/>
    <col min="7" max="7" width="12.77734375" style="2" customWidth="1"/>
    <col min="8" max="8" width="10.5546875" style="3"/>
    <col min="9" max="9" width="11.77734375" style="3"/>
    <col min="10" max="10" width="15.21875" style="3" customWidth="1"/>
    <col min="11" max="16384" width="8.88671875" style="2"/>
  </cols>
  <sheetData>
    <row r="1" spans="1:7" x14ac:dyDescent="0.25">
      <c r="A1" s="1" t="s">
        <v>0</v>
      </c>
      <c r="B1" s="1"/>
      <c r="C1" s="1"/>
      <c r="F1" s="12"/>
      <c r="G1" s="1"/>
    </row>
    <row r="2" spans="1:7" x14ac:dyDescent="0.25">
      <c r="A2" s="1" t="s">
        <v>1</v>
      </c>
      <c r="B2" s="1"/>
      <c r="C2" s="1"/>
      <c r="F2" s="12"/>
      <c r="G2" s="1"/>
    </row>
    <row r="3" spans="1:7" x14ac:dyDescent="0.25">
      <c r="A3" s="1"/>
      <c r="B3" s="1"/>
      <c r="C3" s="1"/>
      <c r="F3" s="12"/>
      <c r="G3" s="1"/>
    </row>
    <row r="4" spans="1:7" x14ac:dyDescent="0.25">
      <c r="A4" s="1" t="s">
        <v>31</v>
      </c>
      <c r="B4" s="1"/>
      <c r="C4" s="1"/>
      <c r="F4" s="12"/>
      <c r="G4" s="1"/>
    </row>
    <row r="5" spans="1:7" x14ac:dyDescent="0.25">
      <c r="A5" s="1" t="s">
        <v>32</v>
      </c>
      <c r="B5" s="1"/>
      <c r="C5" s="1"/>
      <c r="F5" s="12"/>
      <c r="G5" s="1"/>
    </row>
    <row r="6" spans="1:7" x14ac:dyDescent="0.25">
      <c r="A6" s="1"/>
      <c r="B6" s="1"/>
      <c r="C6" s="1"/>
      <c r="F6" s="12"/>
      <c r="G6" s="1"/>
    </row>
    <row r="7" spans="1:7" x14ac:dyDescent="0.25">
      <c r="A7" s="1" t="s">
        <v>139</v>
      </c>
      <c r="B7" s="1"/>
      <c r="C7" s="1"/>
      <c r="F7" s="12"/>
      <c r="G7" s="1"/>
    </row>
    <row r="8" spans="1:7" x14ac:dyDescent="0.25">
      <c r="A8" s="1" t="s">
        <v>294</v>
      </c>
      <c r="B8" s="1"/>
      <c r="C8" s="1"/>
      <c r="F8" s="12"/>
      <c r="G8" s="1"/>
    </row>
    <row r="9" spans="1:7" x14ac:dyDescent="0.25">
      <c r="A9" s="1"/>
      <c r="B9" s="1"/>
      <c r="C9" s="1"/>
      <c r="F9" s="12"/>
      <c r="G9" s="1"/>
    </row>
    <row r="10" spans="1:7" x14ac:dyDescent="0.25">
      <c r="A10" s="1" t="s">
        <v>293</v>
      </c>
      <c r="B10" s="1"/>
      <c r="C10" s="1"/>
      <c r="F10" s="12"/>
      <c r="G10" s="1"/>
    </row>
    <row r="11" spans="1:7" x14ac:dyDescent="0.25">
      <c r="A11" s="1" t="s">
        <v>142</v>
      </c>
      <c r="B11" s="1"/>
      <c r="C11" s="1"/>
      <c r="F11" s="12"/>
      <c r="G11" s="1"/>
    </row>
    <row r="12" spans="1:7" x14ac:dyDescent="0.25">
      <c r="A12" s="1"/>
      <c r="B12" s="1"/>
      <c r="C12" s="1"/>
      <c r="F12" s="12"/>
      <c r="G12" s="1"/>
    </row>
    <row r="13" spans="1:7" x14ac:dyDescent="0.25">
      <c r="A13" s="1" t="s">
        <v>313</v>
      </c>
      <c r="B13" s="1"/>
      <c r="C13" s="1"/>
      <c r="F13" s="12"/>
      <c r="G13" s="1"/>
    </row>
    <row r="14" spans="1:7" x14ac:dyDescent="0.25">
      <c r="A14" s="1" t="s">
        <v>212</v>
      </c>
      <c r="B14" s="1"/>
      <c r="C14" s="1"/>
      <c r="F14" s="12"/>
      <c r="G14" s="1"/>
    </row>
    <row r="15" spans="1:7" x14ac:dyDescent="0.25">
      <c r="A15" s="1" t="s">
        <v>314</v>
      </c>
      <c r="B15" s="1"/>
      <c r="C15" s="1"/>
      <c r="F15" s="12"/>
      <c r="G15" s="1"/>
    </row>
    <row r="16" spans="1:7" x14ac:dyDescent="0.25">
      <c r="A16" s="1" t="s">
        <v>315</v>
      </c>
      <c r="B16" s="1"/>
      <c r="C16" s="1"/>
      <c r="F16" s="12"/>
      <c r="G16" s="1"/>
    </row>
    <row r="17" spans="1:10" x14ac:dyDescent="0.25">
      <c r="A17" s="1"/>
      <c r="B17" s="1"/>
      <c r="C17" s="1"/>
      <c r="F17" s="12"/>
      <c r="G17" s="1"/>
    </row>
    <row r="18" spans="1:10" x14ac:dyDescent="0.25">
      <c r="A18" s="1" t="s">
        <v>316</v>
      </c>
      <c r="B18" s="1"/>
      <c r="C18" s="1"/>
      <c r="F18" s="12"/>
      <c r="G18" s="1"/>
    </row>
    <row r="19" spans="1:10" x14ac:dyDescent="0.25">
      <c r="A19" s="1"/>
      <c r="B19" s="1"/>
      <c r="C19" s="1"/>
      <c r="F19" s="12"/>
      <c r="G19" s="1"/>
    </row>
    <row r="20" spans="1:10" x14ac:dyDescent="0.25">
      <c r="A20" s="1" t="s">
        <v>214</v>
      </c>
      <c r="B20" s="1"/>
      <c r="C20" s="1"/>
      <c r="F20" s="12"/>
      <c r="G20" s="1"/>
    </row>
    <row r="21" spans="1:10" ht="13.8" thickBot="1" x14ac:dyDescent="0.3">
      <c r="A21" s="1"/>
      <c r="B21" s="1"/>
      <c r="C21" s="1"/>
      <c r="F21" s="12"/>
      <c r="G21" s="1"/>
    </row>
    <row r="22" spans="1:10" ht="27" thickBot="1" x14ac:dyDescent="0.3">
      <c r="A22" s="38" t="s">
        <v>33</v>
      </c>
      <c r="B22" s="39" t="s">
        <v>6</v>
      </c>
      <c r="C22" s="39" t="s">
        <v>148</v>
      </c>
      <c r="D22" s="39" t="s">
        <v>149</v>
      </c>
      <c r="E22" s="39" t="s">
        <v>151</v>
      </c>
      <c r="F22" s="39" t="s">
        <v>300</v>
      </c>
      <c r="G22" s="39" t="s">
        <v>301</v>
      </c>
      <c r="H22" s="39" t="s">
        <v>34</v>
      </c>
      <c r="I22" s="39" t="s">
        <v>302</v>
      </c>
      <c r="J22" s="40" t="s">
        <v>152</v>
      </c>
    </row>
    <row r="23" spans="1:10" x14ac:dyDescent="0.25">
      <c r="A23" s="18">
        <v>1</v>
      </c>
      <c r="B23" s="19" t="s">
        <v>9</v>
      </c>
      <c r="C23" s="43" t="s">
        <v>230</v>
      </c>
      <c r="D23" s="20" t="s">
        <v>73</v>
      </c>
      <c r="E23" s="20" t="s">
        <v>78</v>
      </c>
      <c r="F23" s="21">
        <v>3.8831018518518515E-2</v>
      </c>
      <c r="G23" s="21">
        <f>F23</f>
        <v>3.8831018518518515E-2</v>
      </c>
      <c r="H23" s="20"/>
      <c r="I23" s="20"/>
      <c r="J23" s="22" t="s">
        <v>78</v>
      </c>
    </row>
    <row r="24" spans="1:10" x14ac:dyDescent="0.25">
      <c r="A24" s="23"/>
      <c r="B24" s="44"/>
      <c r="C24" s="45" t="s">
        <v>228</v>
      </c>
      <c r="D24" s="25">
        <v>217</v>
      </c>
      <c r="E24" s="25" t="s">
        <v>78</v>
      </c>
      <c r="F24" s="26">
        <v>3.5787037037037034E-2</v>
      </c>
      <c r="G24" s="26">
        <f>F23+F24</f>
        <v>7.4618055555555549E-2</v>
      </c>
      <c r="H24" s="25"/>
      <c r="I24" s="25"/>
      <c r="J24" s="27" t="s">
        <v>78</v>
      </c>
    </row>
    <row r="25" spans="1:10" x14ac:dyDescent="0.25">
      <c r="A25" s="23"/>
      <c r="B25" s="44"/>
      <c r="C25" s="45" t="s">
        <v>216</v>
      </c>
      <c r="D25" s="25">
        <v>317</v>
      </c>
      <c r="E25" s="25" t="s">
        <v>78</v>
      </c>
      <c r="F25" s="26">
        <v>3.5972222222222218E-2</v>
      </c>
      <c r="G25" s="26">
        <f>G24+F25</f>
        <v>0.11059027777777777</v>
      </c>
      <c r="H25" s="25"/>
      <c r="I25" s="25"/>
      <c r="J25" s="27" t="s">
        <v>78</v>
      </c>
    </row>
    <row r="26" spans="1:10" x14ac:dyDescent="0.25">
      <c r="A26" s="23"/>
      <c r="B26" s="44"/>
      <c r="C26" s="45" t="s">
        <v>215</v>
      </c>
      <c r="D26" s="25" t="s">
        <v>308</v>
      </c>
      <c r="E26" s="25" t="s">
        <v>78</v>
      </c>
      <c r="F26" s="26">
        <v>3.1261574074074074E-2</v>
      </c>
      <c r="G26" s="26">
        <f>G25+F26</f>
        <v>0.14185185185185184</v>
      </c>
      <c r="H26" s="25">
        <v>1</v>
      </c>
      <c r="I26" s="25">
        <v>1</v>
      </c>
      <c r="J26" s="27" t="s">
        <v>78</v>
      </c>
    </row>
    <row r="27" spans="1:10" x14ac:dyDescent="0.25">
      <c r="A27" s="23"/>
      <c r="B27" s="44"/>
      <c r="C27" s="44"/>
      <c r="D27" s="25"/>
      <c r="E27" s="25"/>
      <c r="F27" s="25"/>
      <c r="G27" s="25"/>
      <c r="H27" s="25"/>
      <c r="I27" s="25"/>
      <c r="J27" s="27"/>
    </row>
    <row r="28" spans="1:10" x14ac:dyDescent="0.25">
      <c r="A28" s="23">
        <v>2</v>
      </c>
      <c r="B28" s="24" t="s">
        <v>11</v>
      </c>
      <c r="C28" s="45" t="s">
        <v>229</v>
      </c>
      <c r="D28" s="25">
        <v>115</v>
      </c>
      <c r="E28" s="25" t="s">
        <v>78</v>
      </c>
      <c r="F28" s="26">
        <v>3.4872685185185187E-2</v>
      </c>
      <c r="G28" s="26">
        <f t="shared" ref="G28" si="0">F28</f>
        <v>3.4872685185185187E-2</v>
      </c>
      <c r="H28" s="25"/>
      <c r="I28" s="25"/>
      <c r="J28" s="27" t="s">
        <v>78</v>
      </c>
    </row>
    <row r="29" spans="1:10" x14ac:dyDescent="0.25">
      <c r="A29" s="23"/>
      <c r="B29" s="44"/>
      <c r="C29" s="45" t="s">
        <v>287</v>
      </c>
      <c r="D29" s="25">
        <v>215</v>
      </c>
      <c r="E29" s="25" t="s">
        <v>78</v>
      </c>
      <c r="F29" s="26">
        <v>4.1041666666666664E-2</v>
      </c>
      <c r="G29" s="26">
        <f t="shared" ref="G29" si="1">F28+F29</f>
        <v>7.5914351851851858E-2</v>
      </c>
      <c r="H29" s="25"/>
      <c r="I29" s="25"/>
      <c r="J29" s="27" t="s">
        <v>78</v>
      </c>
    </row>
    <row r="30" spans="1:10" x14ac:dyDescent="0.25">
      <c r="A30" s="23"/>
      <c r="B30" s="44"/>
      <c r="C30" s="45" t="s">
        <v>233</v>
      </c>
      <c r="D30" s="25">
        <v>315</v>
      </c>
      <c r="E30" s="25" t="s">
        <v>78</v>
      </c>
      <c r="F30" s="26">
        <v>3.7326388888888888E-2</v>
      </c>
      <c r="G30" s="26">
        <f t="shared" ref="G30:G31" si="2">G29+F30</f>
        <v>0.11324074074074075</v>
      </c>
      <c r="H30" s="25"/>
      <c r="I30" s="25"/>
      <c r="J30" s="27" t="s">
        <v>78</v>
      </c>
    </row>
    <row r="31" spans="1:10" x14ac:dyDescent="0.25">
      <c r="A31" s="23"/>
      <c r="B31" s="44"/>
      <c r="C31" s="45" t="s">
        <v>236</v>
      </c>
      <c r="D31" s="25">
        <v>415</v>
      </c>
      <c r="E31" s="25" t="s">
        <v>78</v>
      </c>
      <c r="F31" s="26">
        <v>4.2337962962962966E-2</v>
      </c>
      <c r="G31" s="26">
        <f t="shared" si="2"/>
        <v>0.15557870370370372</v>
      </c>
      <c r="H31" s="25">
        <v>2</v>
      </c>
      <c r="I31" s="25">
        <v>2</v>
      </c>
      <c r="J31" s="27" t="s">
        <v>78</v>
      </c>
    </row>
    <row r="32" spans="1:10" x14ac:dyDescent="0.25">
      <c r="A32" s="23"/>
      <c r="B32" s="44"/>
      <c r="C32" s="44"/>
      <c r="D32" s="25"/>
      <c r="E32" s="25"/>
      <c r="F32" s="25"/>
      <c r="G32" s="25"/>
      <c r="H32" s="25"/>
      <c r="I32" s="25"/>
      <c r="J32" s="27"/>
    </row>
    <row r="33" spans="1:11" x14ac:dyDescent="0.25">
      <c r="A33" s="23">
        <v>3</v>
      </c>
      <c r="B33" s="24" t="s">
        <v>13</v>
      </c>
      <c r="C33" s="45" t="s">
        <v>223</v>
      </c>
      <c r="D33" s="25">
        <v>119</v>
      </c>
      <c r="E33" s="25" t="s">
        <v>78</v>
      </c>
      <c r="F33" s="26">
        <v>3.5752314814814813E-2</v>
      </c>
      <c r="G33" s="26">
        <f t="shared" ref="G33" si="3">F33</f>
        <v>3.5752314814814813E-2</v>
      </c>
      <c r="H33" s="25"/>
      <c r="I33" s="25"/>
      <c r="J33" s="27" t="s">
        <v>78</v>
      </c>
    </row>
    <row r="34" spans="1:11" x14ac:dyDescent="0.25">
      <c r="A34" s="23"/>
      <c r="B34" s="44"/>
      <c r="C34" s="45" t="s">
        <v>264</v>
      </c>
      <c r="D34" s="25">
        <v>219</v>
      </c>
      <c r="E34" s="25" t="s">
        <v>78</v>
      </c>
      <c r="F34" s="26">
        <v>4.0370370370370369E-2</v>
      </c>
      <c r="G34" s="26">
        <f t="shared" ref="G34" si="4">F33+F34</f>
        <v>7.6122685185185182E-2</v>
      </c>
      <c r="H34" s="25"/>
      <c r="I34" s="25"/>
      <c r="J34" s="27" t="s">
        <v>78</v>
      </c>
      <c r="K34"/>
    </row>
    <row r="35" spans="1:11" x14ac:dyDescent="0.25">
      <c r="A35" s="23"/>
      <c r="B35" s="24"/>
      <c r="C35" s="45" t="s">
        <v>220</v>
      </c>
      <c r="D35" s="25">
        <v>319</v>
      </c>
      <c r="E35" s="25" t="s">
        <v>78</v>
      </c>
      <c r="F35" s="26">
        <v>4.5439814814814815E-2</v>
      </c>
      <c r="G35" s="26">
        <f t="shared" ref="G35:G36" si="5">G34+F35</f>
        <v>0.12156249999999999</v>
      </c>
      <c r="H35" s="25"/>
      <c r="I35" s="25"/>
      <c r="J35" s="27" t="s">
        <v>78</v>
      </c>
      <c r="K35"/>
    </row>
    <row r="36" spans="1:11" x14ac:dyDescent="0.25">
      <c r="A36" s="23"/>
      <c r="B36" s="24"/>
      <c r="C36" s="45" t="s">
        <v>219</v>
      </c>
      <c r="D36" s="25">
        <v>419</v>
      </c>
      <c r="E36" s="25" t="s">
        <v>78</v>
      </c>
      <c r="F36" s="26">
        <v>3.4791666666666672E-2</v>
      </c>
      <c r="G36" s="26">
        <f t="shared" si="5"/>
        <v>0.15635416666666666</v>
      </c>
      <c r="H36" s="25">
        <v>3</v>
      </c>
      <c r="I36" s="25">
        <v>3</v>
      </c>
      <c r="J36" s="27" t="s">
        <v>78</v>
      </c>
      <c r="K36"/>
    </row>
    <row r="37" spans="1:11" x14ac:dyDescent="0.25">
      <c r="A37" s="23"/>
      <c r="B37" s="24"/>
      <c r="C37" s="44"/>
      <c r="D37" s="25"/>
      <c r="E37" s="25"/>
      <c r="F37" s="25"/>
      <c r="G37" s="25"/>
      <c r="H37" s="25"/>
      <c r="I37" s="25"/>
      <c r="J37" s="27"/>
      <c r="K37"/>
    </row>
    <row r="38" spans="1:11" x14ac:dyDescent="0.25">
      <c r="A38" s="23">
        <v>4</v>
      </c>
      <c r="B38" s="24" t="s">
        <v>40</v>
      </c>
      <c r="C38" s="45" t="s">
        <v>265</v>
      </c>
      <c r="D38" s="25">
        <v>116</v>
      </c>
      <c r="E38" s="25" t="s">
        <v>78</v>
      </c>
      <c r="F38" s="26">
        <v>3.9780092592592589E-2</v>
      </c>
      <c r="G38" s="26">
        <f t="shared" ref="G38" si="6">F38</f>
        <v>3.9780092592592589E-2</v>
      </c>
      <c r="H38" s="25"/>
      <c r="I38" s="25"/>
      <c r="J38" s="46"/>
      <c r="K38"/>
    </row>
    <row r="39" spans="1:11" x14ac:dyDescent="0.25">
      <c r="A39" s="23"/>
      <c r="B39" s="44"/>
      <c r="C39" s="45" t="s">
        <v>227</v>
      </c>
      <c r="D39" s="25">
        <v>216</v>
      </c>
      <c r="E39" s="25" t="s">
        <v>78</v>
      </c>
      <c r="F39" s="26">
        <v>5.2187499999999998E-2</v>
      </c>
      <c r="G39" s="26">
        <f t="shared" ref="G39" si="7">F38+F39</f>
        <v>9.1967592592592587E-2</v>
      </c>
      <c r="H39" s="25"/>
      <c r="I39" s="25"/>
      <c r="J39" s="27"/>
    </row>
    <row r="40" spans="1:11" x14ac:dyDescent="0.25">
      <c r="A40" s="23"/>
      <c r="B40" s="24"/>
      <c r="C40" s="45" t="s">
        <v>225</v>
      </c>
      <c r="D40" s="25">
        <v>316</v>
      </c>
      <c r="E40" s="25" t="s">
        <v>78</v>
      </c>
      <c r="F40" s="26">
        <v>4.1678240740740745E-2</v>
      </c>
      <c r="G40" s="26">
        <f t="shared" ref="G40:G41" si="8">G39+F40</f>
        <v>0.13364583333333332</v>
      </c>
      <c r="H40" s="25"/>
      <c r="I40" s="25"/>
      <c r="J40" s="27"/>
    </row>
    <row r="41" spans="1:11" x14ac:dyDescent="0.25">
      <c r="A41" s="23"/>
      <c r="B41" s="44"/>
      <c r="C41" s="45" t="s">
        <v>217</v>
      </c>
      <c r="D41" s="25">
        <v>416</v>
      </c>
      <c r="E41" s="25" t="s">
        <v>78</v>
      </c>
      <c r="F41" s="26">
        <v>3.4826388888888886E-2</v>
      </c>
      <c r="G41" s="26">
        <f t="shared" si="8"/>
        <v>0.16847222222222222</v>
      </c>
      <c r="H41" s="25">
        <v>4</v>
      </c>
      <c r="I41" s="25">
        <v>4</v>
      </c>
      <c r="J41" s="27"/>
    </row>
    <row r="42" spans="1:11" x14ac:dyDescent="0.25">
      <c r="A42" s="23"/>
      <c r="B42" s="24"/>
      <c r="C42" s="44"/>
      <c r="D42" s="25"/>
      <c r="E42" s="25"/>
      <c r="F42" s="25"/>
      <c r="G42" s="25"/>
      <c r="H42" s="25"/>
      <c r="I42" s="25"/>
      <c r="J42" s="27"/>
    </row>
    <row r="43" spans="1:11" x14ac:dyDescent="0.25">
      <c r="A43" s="23">
        <v>5</v>
      </c>
      <c r="B43" s="24" t="s">
        <v>39</v>
      </c>
      <c r="C43" s="45" t="s">
        <v>221</v>
      </c>
      <c r="D43" s="25">
        <v>112</v>
      </c>
      <c r="E43" s="25" t="s">
        <v>78</v>
      </c>
      <c r="F43" s="26">
        <v>4.4467592592592593E-2</v>
      </c>
      <c r="G43" s="26">
        <f t="shared" ref="G43" si="9">F43</f>
        <v>4.4467592592592593E-2</v>
      </c>
      <c r="H43" s="25"/>
      <c r="I43" s="25"/>
      <c r="J43" s="27"/>
    </row>
    <row r="44" spans="1:11" x14ac:dyDescent="0.25">
      <c r="A44" s="23"/>
      <c r="B44" s="44"/>
      <c r="C44" s="45" t="s">
        <v>276</v>
      </c>
      <c r="D44" s="25">
        <v>212</v>
      </c>
      <c r="E44" s="25" t="s">
        <v>78</v>
      </c>
      <c r="F44" s="26">
        <v>4.387731481481482E-2</v>
      </c>
      <c r="G44" s="26">
        <f t="shared" ref="G44" si="10">F43+F44</f>
        <v>8.8344907407407414E-2</v>
      </c>
      <c r="H44" s="25"/>
      <c r="I44" s="25"/>
      <c r="J44" s="27"/>
      <c r="K44"/>
    </row>
    <row r="45" spans="1:11" x14ac:dyDescent="0.25">
      <c r="A45" s="23"/>
      <c r="B45" s="24"/>
      <c r="C45" s="45" t="s">
        <v>274</v>
      </c>
      <c r="D45" s="25">
        <v>312</v>
      </c>
      <c r="E45" s="25" t="s">
        <v>169</v>
      </c>
      <c r="F45" s="26">
        <v>4.2256944444444444E-2</v>
      </c>
      <c r="G45" s="26">
        <f t="shared" ref="G45:G46" si="11">G44+F45</f>
        <v>0.13060185185185186</v>
      </c>
      <c r="H45" s="25"/>
      <c r="I45" s="25"/>
      <c r="J45" s="27"/>
      <c r="K45"/>
    </row>
    <row r="46" spans="1:11" x14ac:dyDescent="0.25">
      <c r="A46" s="23"/>
      <c r="B46" s="24"/>
      <c r="C46" s="45" t="s">
        <v>279</v>
      </c>
      <c r="D46" s="25">
        <v>412</v>
      </c>
      <c r="E46" s="25" t="s">
        <v>78</v>
      </c>
      <c r="F46" s="26">
        <v>4.1805555555555561E-2</v>
      </c>
      <c r="G46" s="26">
        <f t="shared" si="11"/>
        <v>0.17240740740740743</v>
      </c>
      <c r="H46" s="25">
        <v>5</v>
      </c>
      <c r="I46" s="25">
        <v>5</v>
      </c>
      <c r="J46" s="27"/>
      <c r="K46"/>
    </row>
    <row r="47" spans="1:11" x14ac:dyDescent="0.25">
      <c r="A47" s="23"/>
      <c r="B47" s="44"/>
      <c r="C47" s="44"/>
      <c r="D47" s="25"/>
      <c r="E47" s="25"/>
      <c r="F47" s="25"/>
      <c r="G47" s="25"/>
      <c r="H47" s="25"/>
      <c r="I47" s="25"/>
      <c r="J47" s="27"/>
      <c r="K47"/>
    </row>
    <row r="48" spans="1:11" x14ac:dyDescent="0.25">
      <c r="A48" s="23">
        <v>6</v>
      </c>
      <c r="B48" s="24" t="s">
        <v>12</v>
      </c>
      <c r="C48" s="45" t="s">
        <v>286</v>
      </c>
      <c r="D48" s="25">
        <v>113</v>
      </c>
      <c r="E48" s="25" t="s">
        <v>78</v>
      </c>
      <c r="F48" s="26">
        <v>5.3217592592592594E-2</v>
      </c>
      <c r="G48" s="26">
        <f t="shared" ref="G48" si="12">F48</f>
        <v>5.3217592592592594E-2</v>
      </c>
      <c r="H48" s="25"/>
      <c r="I48" s="25"/>
      <c r="J48" s="27"/>
      <c r="K48"/>
    </row>
    <row r="49" spans="1:11" x14ac:dyDescent="0.25">
      <c r="A49" s="23"/>
      <c r="B49" s="44"/>
      <c r="C49" s="45" t="s">
        <v>235</v>
      </c>
      <c r="D49" s="25">
        <v>213</v>
      </c>
      <c r="E49" s="25" t="s">
        <v>78</v>
      </c>
      <c r="F49" s="26">
        <v>5.2037037037037041E-2</v>
      </c>
      <c r="G49" s="26">
        <f t="shared" ref="G49" si="13">F48+F49</f>
        <v>0.10525462962962964</v>
      </c>
      <c r="H49" s="25"/>
      <c r="I49" s="25"/>
      <c r="J49" s="27"/>
      <c r="K49"/>
    </row>
    <row r="50" spans="1:11" x14ac:dyDescent="0.25">
      <c r="A50" s="23"/>
      <c r="B50" s="44"/>
      <c r="C50" s="45" t="s">
        <v>218</v>
      </c>
      <c r="D50" s="25">
        <v>313</v>
      </c>
      <c r="E50" s="25" t="s">
        <v>78</v>
      </c>
      <c r="F50" s="26">
        <v>5.4976851851851853E-2</v>
      </c>
      <c r="G50" s="26">
        <f t="shared" ref="G50:G51" si="14">G49+F50</f>
        <v>0.1602314814814815</v>
      </c>
      <c r="H50" s="25"/>
      <c r="I50" s="25"/>
      <c r="J50" s="27"/>
      <c r="K50"/>
    </row>
    <row r="51" spans="1:11" x14ac:dyDescent="0.25">
      <c r="A51" s="23"/>
      <c r="B51" s="24"/>
      <c r="C51" s="45" t="s">
        <v>266</v>
      </c>
      <c r="D51" s="25">
        <v>413</v>
      </c>
      <c r="E51" s="25" t="s">
        <v>78</v>
      </c>
      <c r="F51" s="26">
        <v>3.6770833333333336E-2</v>
      </c>
      <c r="G51" s="26">
        <f t="shared" si="14"/>
        <v>0.19700231481481484</v>
      </c>
      <c r="H51" s="25">
        <v>6</v>
      </c>
      <c r="I51" s="25">
        <v>6</v>
      </c>
      <c r="J51" s="27"/>
      <c r="K51"/>
    </row>
    <row r="52" spans="1:11" x14ac:dyDescent="0.25">
      <c r="A52" s="23"/>
      <c r="B52" s="44"/>
      <c r="C52" s="44"/>
      <c r="D52" s="25"/>
      <c r="E52" s="25"/>
      <c r="F52" s="25"/>
      <c r="G52" s="25"/>
      <c r="H52" s="25"/>
      <c r="I52" s="25"/>
      <c r="J52" s="27"/>
      <c r="K52"/>
    </row>
    <row r="53" spans="1:11" x14ac:dyDescent="0.25">
      <c r="A53" s="23">
        <v>7</v>
      </c>
      <c r="B53" s="24" t="s">
        <v>14</v>
      </c>
      <c r="C53" s="45" t="s">
        <v>289</v>
      </c>
      <c r="D53" s="25">
        <v>118</v>
      </c>
      <c r="E53" s="25" t="s">
        <v>169</v>
      </c>
      <c r="F53" s="26">
        <v>6.2800925925925927E-2</v>
      </c>
      <c r="G53" s="26">
        <f t="shared" ref="G53" si="15">F53</f>
        <v>6.2800925925925927E-2</v>
      </c>
      <c r="H53" s="25"/>
      <c r="I53" s="25"/>
      <c r="J53" s="46"/>
      <c r="K53"/>
    </row>
    <row r="54" spans="1:11" x14ac:dyDescent="0.25">
      <c r="A54" s="23"/>
      <c r="B54" s="44"/>
      <c r="C54" s="45" t="s">
        <v>277</v>
      </c>
      <c r="D54" s="25">
        <v>218</v>
      </c>
      <c r="E54" s="25" t="s">
        <v>169</v>
      </c>
      <c r="F54" s="26">
        <v>5.0671296296296298E-2</v>
      </c>
      <c r="G54" s="26">
        <f t="shared" ref="G54" si="16">F53+F54</f>
        <v>0.11347222222222222</v>
      </c>
      <c r="H54" s="25"/>
      <c r="I54" s="25"/>
      <c r="J54" s="27"/>
      <c r="K54"/>
    </row>
    <row r="55" spans="1:11" x14ac:dyDescent="0.25">
      <c r="A55" s="23"/>
      <c r="B55" s="24"/>
      <c r="C55" s="45" t="s">
        <v>281</v>
      </c>
      <c r="D55" s="25">
        <v>318</v>
      </c>
      <c r="E55" s="25" t="s">
        <v>78</v>
      </c>
      <c r="F55" s="26">
        <v>4.9085648148148149E-2</v>
      </c>
      <c r="G55" s="26">
        <f t="shared" ref="G55:G56" si="17">G54+F55</f>
        <v>0.16255787037037037</v>
      </c>
      <c r="H55" s="25"/>
      <c r="I55" s="25"/>
      <c r="J55" s="27"/>
      <c r="K55"/>
    </row>
    <row r="56" spans="1:11" x14ac:dyDescent="0.25">
      <c r="A56" s="23"/>
      <c r="B56" s="44"/>
      <c r="C56" s="45" t="s">
        <v>278</v>
      </c>
      <c r="D56" s="25">
        <v>418</v>
      </c>
      <c r="E56" s="25" t="s">
        <v>78</v>
      </c>
      <c r="F56" s="26">
        <v>5.2048611111111108E-2</v>
      </c>
      <c r="G56" s="26">
        <f t="shared" si="17"/>
        <v>0.21460648148148148</v>
      </c>
      <c r="H56" s="25">
        <v>7</v>
      </c>
      <c r="I56" s="25">
        <v>7</v>
      </c>
      <c r="J56" s="27"/>
      <c r="K56"/>
    </row>
    <row r="57" spans="1:11" x14ac:dyDescent="0.25">
      <c r="A57" s="23"/>
      <c r="B57" s="44"/>
      <c r="C57" s="44"/>
      <c r="D57" s="25"/>
      <c r="E57" s="25"/>
      <c r="F57" s="25"/>
      <c r="G57" s="25"/>
      <c r="H57" s="25"/>
      <c r="I57" s="25"/>
      <c r="J57" s="27"/>
      <c r="K57"/>
    </row>
    <row r="58" spans="1:11" x14ac:dyDescent="0.25">
      <c r="A58" s="23">
        <v>8</v>
      </c>
      <c r="B58" s="24" t="s">
        <v>18</v>
      </c>
      <c r="C58" s="45" t="s">
        <v>268</v>
      </c>
      <c r="D58" s="25">
        <v>111</v>
      </c>
      <c r="E58" s="25" t="s">
        <v>78</v>
      </c>
      <c r="F58" s="26">
        <v>5.1342592592592586E-2</v>
      </c>
      <c r="G58" s="26">
        <f t="shared" ref="G58" si="18">F58</f>
        <v>5.1342592592592586E-2</v>
      </c>
      <c r="H58" s="25"/>
      <c r="I58" s="25"/>
      <c r="J58" s="46"/>
      <c r="K58"/>
    </row>
    <row r="59" spans="1:11" x14ac:dyDescent="0.25">
      <c r="A59" s="23"/>
      <c r="B59" s="44"/>
      <c r="C59" s="45" t="s">
        <v>267</v>
      </c>
      <c r="D59" s="25">
        <v>211</v>
      </c>
      <c r="E59" s="25" t="s">
        <v>169</v>
      </c>
      <c r="F59" s="26">
        <v>5.0682870370370371E-2</v>
      </c>
      <c r="G59" s="26">
        <f t="shared" ref="G59" si="19">F58+F59</f>
        <v>0.10202546296296296</v>
      </c>
      <c r="H59" s="25"/>
      <c r="I59" s="25"/>
      <c r="J59" s="46"/>
      <c r="K59"/>
    </row>
    <row r="60" spans="1:11" x14ac:dyDescent="0.25">
      <c r="A60" s="23"/>
      <c r="B60" s="44"/>
      <c r="C60" s="45" t="s">
        <v>226</v>
      </c>
      <c r="D60" s="25">
        <v>311</v>
      </c>
      <c r="E60" s="25" t="s">
        <v>78</v>
      </c>
      <c r="F60" s="26">
        <v>6.6689814814814813E-2</v>
      </c>
      <c r="G60" s="26">
        <f t="shared" ref="G60:G61" si="20">G59+F60</f>
        <v>0.16871527777777778</v>
      </c>
      <c r="H60" s="25"/>
      <c r="I60" s="25"/>
      <c r="J60" s="46"/>
      <c r="K60"/>
    </row>
    <row r="61" spans="1:11" x14ac:dyDescent="0.25">
      <c r="A61" s="47"/>
      <c r="B61" s="44"/>
      <c r="C61" s="45" t="s">
        <v>231</v>
      </c>
      <c r="D61" s="25">
        <v>411</v>
      </c>
      <c r="E61" s="25" t="s">
        <v>78</v>
      </c>
      <c r="F61" s="26">
        <v>5.4363425925925933E-2</v>
      </c>
      <c r="G61" s="26">
        <f t="shared" si="20"/>
        <v>0.22307870370370372</v>
      </c>
      <c r="H61" s="25">
        <v>8</v>
      </c>
      <c r="I61" s="25">
        <v>8</v>
      </c>
      <c r="J61" s="27"/>
      <c r="K61"/>
    </row>
    <row r="62" spans="1:11" x14ac:dyDescent="0.25">
      <c r="A62" s="47"/>
      <c r="B62" s="44"/>
      <c r="C62" s="44"/>
      <c r="D62" s="25"/>
      <c r="E62" s="25"/>
      <c r="F62" s="25"/>
      <c r="G62" s="25"/>
      <c r="H62" s="25"/>
      <c r="I62" s="25"/>
      <c r="J62" s="27"/>
      <c r="K62"/>
    </row>
    <row r="63" spans="1:11" x14ac:dyDescent="0.25">
      <c r="A63" s="23">
        <v>9</v>
      </c>
      <c r="B63" s="24" t="s">
        <v>16</v>
      </c>
      <c r="C63" s="45" t="s">
        <v>285</v>
      </c>
      <c r="D63" s="25">
        <v>114</v>
      </c>
      <c r="E63" s="25" t="s">
        <v>169</v>
      </c>
      <c r="F63" s="26">
        <v>6.5972222222222224E-2</v>
      </c>
      <c r="G63" s="26">
        <f t="shared" ref="G63" si="21">F63</f>
        <v>6.5972222222222224E-2</v>
      </c>
      <c r="H63" s="25"/>
      <c r="I63" s="25"/>
      <c r="J63" s="27"/>
      <c r="K63"/>
    </row>
    <row r="64" spans="1:11" x14ac:dyDescent="0.25">
      <c r="A64" s="47"/>
      <c r="B64" s="44"/>
      <c r="C64" s="45" t="s">
        <v>288</v>
      </c>
      <c r="D64" s="25">
        <v>214</v>
      </c>
      <c r="E64" s="25" t="s">
        <v>78</v>
      </c>
      <c r="F64" s="26">
        <v>4.7303240740740743E-2</v>
      </c>
      <c r="G64" s="26">
        <f t="shared" ref="G64" si="22">F63+F64</f>
        <v>0.11327546296296297</v>
      </c>
      <c r="H64" s="25"/>
      <c r="I64" s="25"/>
      <c r="J64" s="27"/>
      <c r="K64"/>
    </row>
    <row r="65" spans="1:11" x14ac:dyDescent="0.25">
      <c r="A65" s="47"/>
      <c r="B65" s="44"/>
      <c r="C65" s="45" t="s">
        <v>283</v>
      </c>
      <c r="D65" s="25">
        <v>314</v>
      </c>
      <c r="E65" s="25" t="s">
        <v>169</v>
      </c>
      <c r="F65" s="26">
        <v>6.2696759259259258E-2</v>
      </c>
      <c r="G65" s="26">
        <f t="shared" ref="G65:G66" si="23">G64+F65</f>
        <v>0.17597222222222222</v>
      </c>
      <c r="H65" s="25"/>
      <c r="I65" s="25"/>
      <c r="J65" s="27"/>
      <c r="K65"/>
    </row>
    <row r="66" spans="1:11" ht="13.8" thickBot="1" x14ac:dyDescent="0.3">
      <c r="A66" s="48"/>
      <c r="B66" s="49"/>
      <c r="C66" s="50" t="s">
        <v>291</v>
      </c>
      <c r="D66" s="35">
        <v>414</v>
      </c>
      <c r="E66" s="35" t="s">
        <v>169</v>
      </c>
      <c r="F66" s="36">
        <v>6.2210648148148147E-2</v>
      </c>
      <c r="G66" s="36">
        <f t="shared" si="23"/>
        <v>0.23818287037037036</v>
      </c>
      <c r="H66" s="35">
        <v>9</v>
      </c>
      <c r="I66" s="35">
        <v>9</v>
      </c>
      <c r="J66" s="51"/>
      <c r="K66"/>
    </row>
    <row r="67" spans="1:11" x14ac:dyDescent="0.25">
      <c r="J67" s="42"/>
      <c r="K67"/>
    </row>
    <row r="68" spans="1:11" x14ac:dyDescent="0.25">
      <c r="B68" s="2" t="s">
        <v>304</v>
      </c>
      <c r="K68"/>
    </row>
    <row r="69" spans="1:11" x14ac:dyDescent="0.25">
      <c r="B69" s="2" t="s">
        <v>311</v>
      </c>
      <c r="K69"/>
    </row>
    <row r="70" spans="1:11" x14ac:dyDescent="0.25">
      <c r="B70" s="2" t="s">
        <v>306</v>
      </c>
    </row>
    <row r="71" spans="1:11" x14ac:dyDescent="0.25">
      <c r="B71" s="2" t="s">
        <v>312</v>
      </c>
    </row>
    <row r="73" spans="1:11" x14ac:dyDescent="0.25">
      <c r="B73" s="2" t="s">
        <v>29</v>
      </c>
      <c r="C73" s="8" t="s">
        <v>42</v>
      </c>
    </row>
    <row r="74" spans="1:11" x14ac:dyDescent="0.25">
      <c r="B74" s="2" t="s">
        <v>30</v>
      </c>
      <c r="C74" s="8" t="s">
        <v>43</v>
      </c>
    </row>
  </sheetData>
  <sortState ref="J29:K79">
    <sortCondition ref="K29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opLeftCell="A52" workbookViewId="0">
      <selection activeCell="B60" sqref="B60:C66"/>
    </sheetView>
  </sheetViews>
  <sheetFormatPr defaultRowHeight="13.2" x14ac:dyDescent="0.25"/>
  <cols>
    <col min="1" max="1" width="9" style="1" customWidth="1"/>
    <col min="2" max="2" width="29" style="1" customWidth="1"/>
    <col min="3" max="3" width="13.88671875" style="1"/>
    <col min="4" max="4" width="14.6640625" style="12"/>
    <col min="5" max="5" width="12.44140625" style="12"/>
    <col min="6" max="6" width="9.21875" style="12"/>
    <col min="7" max="7" width="14.6640625" style="12"/>
    <col min="8" max="8" width="10.5546875" style="12"/>
    <col min="9" max="9" width="11.77734375" style="1"/>
    <col min="10" max="16384" width="8.88671875" style="1"/>
  </cols>
  <sheetData>
    <row r="1" spans="1:8" x14ac:dyDescent="0.25">
      <c r="A1" s="2" t="s">
        <v>0</v>
      </c>
      <c r="B1" s="2"/>
      <c r="C1" s="2"/>
      <c r="D1" s="3"/>
      <c r="E1" s="3"/>
      <c r="F1" s="3"/>
      <c r="G1" s="3"/>
      <c r="H1" s="3"/>
    </row>
    <row r="2" spans="1:8" x14ac:dyDescent="0.25">
      <c r="A2" s="2" t="s">
        <v>1</v>
      </c>
      <c r="B2" s="2"/>
      <c r="C2" s="2"/>
      <c r="D2" s="3"/>
      <c r="E2" s="3"/>
      <c r="F2" s="3"/>
      <c r="G2" s="3"/>
      <c r="H2" s="3"/>
    </row>
    <row r="3" spans="1:8" x14ac:dyDescent="0.25">
      <c r="A3" s="2"/>
      <c r="B3" s="2"/>
      <c r="C3" s="2"/>
      <c r="D3" s="3"/>
      <c r="E3" s="3"/>
      <c r="F3" s="3"/>
      <c r="G3" s="3"/>
      <c r="H3" s="3"/>
    </row>
    <row r="4" spans="1:8" x14ac:dyDescent="0.25">
      <c r="A4" s="2" t="s">
        <v>31</v>
      </c>
      <c r="B4" s="2"/>
      <c r="C4" s="2"/>
      <c r="D4" s="3"/>
      <c r="E4" s="3"/>
      <c r="F4" s="3"/>
      <c r="G4" s="3"/>
      <c r="H4" s="3"/>
    </row>
    <row r="5" spans="1:8" x14ac:dyDescent="0.25">
      <c r="A5" s="2" t="s">
        <v>32</v>
      </c>
      <c r="B5" s="2"/>
      <c r="C5" s="2"/>
      <c r="D5" s="3"/>
      <c r="E5" s="3"/>
      <c r="F5" s="3"/>
      <c r="G5" s="3"/>
      <c r="H5" s="3"/>
    </row>
    <row r="6" spans="1:8" x14ac:dyDescent="0.25">
      <c r="A6" s="2"/>
      <c r="B6" s="2"/>
      <c r="C6" s="2"/>
      <c r="D6" s="3"/>
      <c r="E6" s="3"/>
      <c r="F6" s="3"/>
      <c r="G6" s="3"/>
      <c r="H6" s="3"/>
    </row>
    <row r="7" spans="1:8" x14ac:dyDescent="0.25">
      <c r="A7" s="2" t="s">
        <v>139</v>
      </c>
      <c r="B7" s="2"/>
      <c r="C7" s="2"/>
      <c r="D7" s="3"/>
      <c r="E7" s="3"/>
      <c r="F7" s="3"/>
      <c r="G7" s="3"/>
      <c r="H7" s="3"/>
    </row>
    <row r="8" spans="1:8" x14ac:dyDescent="0.25">
      <c r="A8" s="2" t="s">
        <v>140</v>
      </c>
      <c r="B8" s="2"/>
      <c r="C8" s="2"/>
      <c r="D8" s="3"/>
      <c r="E8" s="3"/>
      <c r="F8" s="3"/>
      <c r="G8" s="3"/>
      <c r="H8" s="3"/>
    </row>
    <row r="9" spans="1:8" x14ac:dyDescent="0.25">
      <c r="A9" s="2"/>
      <c r="B9" s="2"/>
      <c r="C9" s="2"/>
      <c r="D9" s="3"/>
      <c r="E9" s="3"/>
      <c r="F9" s="3"/>
      <c r="G9" s="3"/>
      <c r="H9" s="3"/>
    </row>
    <row r="10" spans="1:8" x14ac:dyDescent="0.25">
      <c r="A10" s="2" t="s">
        <v>317</v>
      </c>
      <c r="B10" s="2"/>
      <c r="C10" s="2"/>
      <c r="D10" s="3"/>
      <c r="E10" s="3"/>
      <c r="F10" s="3"/>
      <c r="G10" s="3"/>
      <c r="H10" s="3"/>
    </row>
    <row r="11" spans="1:8" x14ac:dyDescent="0.25">
      <c r="A11" s="2" t="s">
        <v>142</v>
      </c>
      <c r="B11" s="2"/>
      <c r="C11" s="2"/>
      <c r="D11" s="3"/>
      <c r="E11" s="3"/>
      <c r="F11" s="3"/>
      <c r="G11" s="3"/>
      <c r="H11" s="3"/>
    </row>
    <row r="12" spans="1:8" x14ac:dyDescent="0.25">
      <c r="A12" s="2"/>
      <c r="B12" s="2"/>
      <c r="C12" s="2"/>
      <c r="D12" s="3"/>
      <c r="E12" s="3"/>
      <c r="F12" s="3"/>
      <c r="G12" s="3"/>
      <c r="H12" s="3"/>
    </row>
    <row r="13" spans="1:8" x14ac:dyDescent="0.25">
      <c r="A13" s="2" t="s">
        <v>318</v>
      </c>
      <c r="B13" s="2"/>
      <c r="C13" s="2"/>
      <c r="D13" s="3"/>
      <c r="E13" s="3"/>
      <c r="F13" s="3"/>
      <c r="G13" s="3"/>
      <c r="H13" s="3"/>
    </row>
    <row r="14" spans="1:8" x14ac:dyDescent="0.25">
      <c r="A14" s="2" t="s">
        <v>319</v>
      </c>
      <c r="B14" s="2"/>
      <c r="C14" s="2"/>
      <c r="D14" s="3"/>
      <c r="E14" s="3"/>
      <c r="F14" s="3"/>
      <c r="G14" s="3"/>
      <c r="H14" s="3"/>
    </row>
    <row r="15" spans="1:8" x14ac:dyDescent="0.25">
      <c r="A15" s="2" t="s">
        <v>320</v>
      </c>
      <c r="B15" s="2"/>
      <c r="C15" s="2"/>
      <c r="D15" s="3"/>
      <c r="E15" s="3"/>
      <c r="F15" s="3"/>
      <c r="G15" s="3"/>
      <c r="H15" s="3"/>
    </row>
    <row r="16" spans="1:8" x14ac:dyDescent="0.25">
      <c r="A16" s="2"/>
      <c r="B16" s="2"/>
      <c r="C16" s="2"/>
      <c r="D16" s="3"/>
      <c r="E16" s="3"/>
      <c r="F16" s="3"/>
      <c r="G16" s="3"/>
      <c r="H16" s="3"/>
    </row>
    <row r="17" spans="1:8" x14ac:dyDescent="0.25">
      <c r="A17" s="2" t="s">
        <v>321</v>
      </c>
      <c r="B17" s="2"/>
      <c r="C17" s="2"/>
      <c r="D17" s="3"/>
      <c r="E17" s="3"/>
      <c r="F17" s="3"/>
      <c r="G17" s="3"/>
      <c r="H17" s="3"/>
    </row>
    <row r="18" spans="1:8" x14ac:dyDescent="0.25">
      <c r="A18" s="2"/>
      <c r="B18" s="2"/>
      <c r="C18" s="2"/>
      <c r="D18" s="3"/>
      <c r="E18" s="3"/>
      <c r="F18" s="3"/>
      <c r="G18" s="3"/>
      <c r="H18" s="3"/>
    </row>
    <row r="19" spans="1:8" x14ac:dyDescent="0.25">
      <c r="A19" s="2" t="s">
        <v>322</v>
      </c>
      <c r="B19" s="2"/>
      <c r="C19" s="2"/>
      <c r="D19" s="3"/>
      <c r="E19" s="3"/>
      <c r="F19" s="3"/>
      <c r="G19" s="3"/>
      <c r="H19" s="3"/>
    </row>
    <row r="20" spans="1:8" x14ac:dyDescent="0.25">
      <c r="A20" s="2"/>
      <c r="B20" s="2"/>
      <c r="C20" s="2"/>
      <c r="D20" s="3"/>
      <c r="E20" s="3"/>
      <c r="F20" s="3"/>
      <c r="G20" s="3"/>
      <c r="H20" s="3"/>
    </row>
    <row r="21" spans="1:8" x14ac:dyDescent="0.25">
      <c r="A21" s="2"/>
      <c r="B21" s="2"/>
      <c r="C21" s="2"/>
      <c r="D21" s="3"/>
      <c r="E21" s="3"/>
      <c r="F21" s="3"/>
      <c r="G21" s="3"/>
      <c r="H21" s="3"/>
    </row>
    <row r="22" spans="1:8" ht="39.6" x14ac:dyDescent="0.25">
      <c r="A22" s="4" t="s">
        <v>33</v>
      </c>
      <c r="B22" s="4" t="s">
        <v>148</v>
      </c>
      <c r="C22" s="4" t="s">
        <v>6</v>
      </c>
      <c r="D22" s="4" t="s">
        <v>149</v>
      </c>
      <c r="E22" s="4" t="s">
        <v>150</v>
      </c>
      <c r="F22" s="4" t="s">
        <v>34</v>
      </c>
      <c r="G22" s="4" t="s">
        <v>151</v>
      </c>
      <c r="H22" s="4" t="s">
        <v>152</v>
      </c>
    </row>
    <row r="23" spans="1:8" x14ac:dyDescent="0.25">
      <c r="A23" s="6">
        <v>1</v>
      </c>
      <c r="B23" s="14" t="s">
        <v>229</v>
      </c>
      <c r="C23" s="14" t="s">
        <v>54</v>
      </c>
      <c r="D23" s="16">
        <v>120</v>
      </c>
      <c r="E23" s="15">
        <v>4.7222222222222221E-2</v>
      </c>
      <c r="F23" s="6">
        <v>1</v>
      </c>
      <c r="G23" s="16" t="s">
        <v>78</v>
      </c>
      <c r="H23" s="16" t="s">
        <v>78</v>
      </c>
    </row>
    <row r="24" spans="1:8" x14ac:dyDescent="0.25">
      <c r="A24" s="6">
        <v>2</v>
      </c>
      <c r="B24" s="14" t="s">
        <v>215</v>
      </c>
      <c r="C24" s="14" t="s">
        <v>45</v>
      </c>
      <c r="D24" s="16">
        <v>123</v>
      </c>
      <c r="E24" s="15">
        <v>4.7754629629629626E-2</v>
      </c>
      <c r="F24" s="6">
        <v>2</v>
      </c>
      <c r="G24" s="16" t="s">
        <v>78</v>
      </c>
      <c r="H24" s="16" t="s">
        <v>78</v>
      </c>
    </row>
    <row r="25" spans="1:8" x14ac:dyDescent="0.25">
      <c r="A25" s="6">
        <v>3</v>
      </c>
      <c r="B25" s="14" t="s">
        <v>270</v>
      </c>
      <c r="C25" s="14" t="s">
        <v>54</v>
      </c>
      <c r="D25" s="16">
        <v>201</v>
      </c>
      <c r="E25" s="15">
        <v>4.8460648148148149E-2</v>
      </c>
      <c r="F25" s="6">
        <v>3</v>
      </c>
      <c r="G25" s="16" t="s">
        <v>78</v>
      </c>
      <c r="H25" s="16" t="s">
        <v>78</v>
      </c>
    </row>
    <row r="26" spans="1:8" x14ac:dyDescent="0.25">
      <c r="A26" s="6">
        <v>4</v>
      </c>
      <c r="B26" s="14" t="s">
        <v>333</v>
      </c>
      <c r="C26" s="14" t="s">
        <v>50</v>
      </c>
      <c r="D26" s="16">
        <v>174</v>
      </c>
      <c r="E26" s="15">
        <v>4.8576388888888884E-2</v>
      </c>
      <c r="F26" s="6">
        <v>4</v>
      </c>
      <c r="G26" s="16" t="s">
        <v>78</v>
      </c>
      <c r="H26" s="16" t="s">
        <v>78</v>
      </c>
    </row>
    <row r="27" spans="1:8" x14ac:dyDescent="0.25">
      <c r="A27" s="6">
        <v>5</v>
      </c>
      <c r="B27" s="14" t="s">
        <v>263</v>
      </c>
      <c r="C27" s="14" t="s">
        <v>50</v>
      </c>
      <c r="D27" s="16">
        <v>138</v>
      </c>
      <c r="E27" s="15">
        <v>4.9456018518518517E-2</v>
      </c>
      <c r="F27" s="6">
        <v>5</v>
      </c>
      <c r="G27" s="16" t="s">
        <v>169</v>
      </c>
      <c r="H27" s="16" t="s">
        <v>78</v>
      </c>
    </row>
    <row r="28" spans="1:8" x14ac:dyDescent="0.25">
      <c r="A28" s="6">
        <v>6</v>
      </c>
      <c r="B28" s="14" t="s">
        <v>219</v>
      </c>
      <c r="C28" s="14" t="s">
        <v>13</v>
      </c>
      <c r="D28" s="16">
        <v>114</v>
      </c>
      <c r="E28" s="15">
        <v>4.9513888888888892E-2</v>
      </c>
      <c r="F28" s="6">
        <v>6</v>
      </c>
      <c r="G28" s="16" t="s">
        <v>78</v>
      </c>
      <c r="H28" s="16" t="s">
        <v>78</v>
      </c>
    </row>
    <row r="29" spans="1:8" x14ac:dyDescent="0.25">
      <c r="A29" s="6">
        <v>7</v>
      </c>
      <c r="B29" s="14" t="s">
        <v>323</v>
      </c>
      <c r="C29" s="14" t="s">
        <v>45</v>
      </c>
      <c r="D29" s="16">
        <v>195</v>
      </c>
      <c r="E29" s="15">
        <v>4.9722222222222223E-2</v>
      </c>
      <c r="F29" s="6">
        <v>7</v>
      </c>
      <c r="G29" s="16" t="s">
        <v>78</v>
      </c>
      <c r="H29" s="16" t="s">
        <v>78</v>
      </c>
    </row>
    <row r="30" spans="1:8" x14ac:dyDescent="0.25">
      <c r="A30" s="6">
        <v>8</v>
      </c>
      <c r="B30" s="14" t="s">
        <v>233</v>
      </c>
      <c r="C30" s="14" t="s">
        <v>54</v>
      </c>
      <c r="D30" s="16">
        <v>171</v>
      </c>
      <c r="E30" s="15">
        <v>5.0729166666666665E-2</v>
      </c>
      <c r="F30" s="6">
        <v>8</v>
      </c>
      <c r="G30" s="16" t="s">
        <v>78</v>
      </c>
      <c r="H30" s="16" t="s">
        <v>78</v>
      </c>
    </row>
    <row r="31" spans="1:8" x14ac:dyDescent="0.25">
      <c r="A31" s="6">
        <v>9</v>
      </c>
      <c r="B31" s="14" t="s">
        <v>230</v>
      </c>
      <c r="C31" s="14" t="s">
        <v>45</v>
      </c>
      <c r="D31" s="16">
        <v>135</v>
      </c>
      <c r="E31" s="15">
        <v>5.077546296296296E-2</v>
      </c>
      <c r="F31" s="6">
        <v>9</v>
      </c>
      <c r="G31" s="16" t="s">
        <v>78</v>
      </c>
      <c r="H31" s="16" t="s">
        <v>78</v>
      </c>
    </row>
    <row r="32" spans="1:8" x14ac:dyDescent="0.25">
      <c r="A32" s="6">
        <v>10</v>
      </c>
      <c r="B32" s="14" t="s">
        <v>324</v>
      </c>
      <c r="C32" s="14" t="s">
        <v>45</v>
      </c>
      <c r="D32" s="16">
        <v>183</v>
      </c>
      <c r="E32" s="15">
        <v>5.1018518518518519E-2</v>
      </c>
      <c r="F32" s="6">
        <v>10</v>
      </c>
      <c r="G32" s="16" t="s">
        <v>78</v>
      </c>
      <c r="H32" s="16" t="s">
        <v>78</v>
      </c>
    </row>
    <row r="33" spans="1:8" x14ac:dyDescent="0.25">
      <c r="A33" s="6">
        <v>11</v>
      </c>
      <c r="B33" s="14" t="s">
        <v>223</v>
      </c>
      <c r="C33" s="14" t="s">
        <v>13</v>
      </c>
      <c r="D33" s="16">
        <v>144</v>
      </c>
      <c r="E33" s="15">
        <v>5.1435185185185188E-2</v>
      </c>
      <c r="F33" s="6">
        <v>11</v>
      </c>
      <c r="G33" s="16" t="s">
        <v>78</v>
      </c>
      <c r="H33" s="16" t="s">
        <v>78</v>
      </c>
    </row>
    <row r="34" spans="1:8" x14ac:dyDescent="0.25">
      <c r="A34" s="6">
        <v>12</v>
      </c>
      <c r="B34" s="14" t="s">
        <v>228</v>
      </c>
      <c r="C34" s="14" t="s">
        <v>45</v>
      </c>
      <c r="D34" s="16">
        <v>192</v>
      </c>
      <c r="E34" s="15">
        <v>5.1828703703703703E-2</v>
      </c>
      <c r="F34" s="6">
        <v>12</v>
      </c>
      <c r="G34" s="16" t="s">
        <v>78</v>
      </c>
      <c r="H34" s="16" t="s">
        <v>78</v>
      </c>
    </row>
    <row r="35" spans="1:8" x14ac:dyDescent="0.25">
      <c r="A35" s="6">
        <v>13</v>
      </c>
      <c r="B35" s="14" t="s">
        <v>236</v>
      </c>
      <c r="C35" s="14" t="s">
        <v>54</v>
      </c>
      <c r="D35" s="16">
        <v>147</v>
      </c>
      <c r="E35" s="15">
        <v>5.212962962962963E-2</v>
      </c>
      <c r="F35" s="6">
        <v>13</v>
      </c>
      <c r="G35" s="16" t="s">
        <v>78</v>
      </c>
      <c r="H35" s="16" t="s">
        <v>78</v>
      </c>
    </row>
    <row r="36" spans="1:8" x14ac:dyDescent="0.25">
      <c r="A36" s="6">
        <v>14</v>
      </c>
      <c r="B36" s="14" t="s">
        <v>265</v>
      </c>
      <c r="C36" s="14" t="s">
        <v>40</v>
      </c>
      <c r="D36" s="16">
        <v>153</v>
      </c>
      <c r="E36" s="15">
        <v>5.2430555555555557E-2</v>
      </c>
      <c r="F36" s="6">
        <v>14</v>
      </c>
      <c r="G36" s="16" t="s">
        <v>78</v>
      </c>
      <c r="H36" s="16" t="s">
        <v>78</v>
      </c>
    </row>
    <row r="37" spans="1:8" x14ac:dyDescent="0.25">
      <c r="A37" s="6">
        <v>15</v>
      </c>
      <c r="B37" s="14" t="s">
        <v>325</v>
      </c>
      <c r="C37" s="14" t="s">
        <v>50</v>
      </c>
      <c r="D37" s="16">
        <v>126</v>
      </c>
      <c r="E37" s="15">
        <v>5.2662037037037035E-2</v>
      </c>
      <c r="F37" s="6">
        <v>15</v>
      </c>
      <c r="G37" s="16" t="s">
        <v>78</v>
      </c>
      <c r="H37" s="16" t="s">
        <v>78</v>
      </c>
    </row>
    <row r="38" spans="1:8" x14ac:dyDescent="0.25">
      <c r="A38" s="6">
        <v>16</v>
      </c>
      <c r="B38" s="14" t="s">
        <v>220</v>
      </c>
      <c r="C38" s="14" t="s">
        <v>13</v>
      </c>
      <c r="D38" s="16">
        <v>204</v>
      </c>
      <c r="E38" s="15">
        <v>5.2696759259259263E-2</v>
      </c>
      <c r="F38" s="6">
        <v>16</v>
      </c>
      <c r="G38" s="16" t="s">
        <v>78</v>
      </c>
      <c r="H38" s="16" t="s">
        <v>169</v>
      </c>
    </row>
    <row r="39" spans="1:8" x14ac:dyDescent="0.25">
      <c r="A39" s="6">
        <v>17</v>
      </c>
      <c r="B39" s="14" t="s">
        <v>225</v>
      </c>
      <c r="C39" s="14" t="s">
        <v>40</v>
      </c>
      <c r="D39" s="16">
        <v>180</v>
      </c>
      <c r="E39" s="15">
        <v>5.3182870370370366E-2</v>
      </c>
      <c r="F39" s="6">
        <v>17</v>
      </c>
      <c r="G39" s="16" t="s">
        <v>78</v>
      </c>
      <c r="H39" s="16" t="s">
        <v>169</v>
      </c>
    </row>
    <row r="40" spans="1:8" x14ac:dyDescent="0.25">
      <c r="A40" s="6">
        <v>18</v>
      </c>
      <c r="B40" s="14" t="s">
        <v>217</v>
      </c>
      <c r="C40" s="14" t="s">
        <v>40</v>
      </c>
      <c r="D40" s="16">
        <v>108</v>
      </c>
      <c r="E40" s="15">
        <v>5.3587962962962969E-2</v>
      </c>
      <c r="F40" s="6">
        <v>18</v>
      </c>
      <c r="G40" s="16" t="s">
        <v>78</v>
      </c>
      <c r="H40" s="16" t="s">
        <v>169</v>
      </c>
    </row>
    <row r="41" spans="1:8" x14ac:dyDescent="0.25">
      <c r="A41" s="6">
        <v>19</v>
      </c>
      <c r="B41" s="14" t="s">
        <v>268</v>
      </c>
      <c r="C41" s="14" t="s">
        <v>18</v>
      </c>
      <c r="D41" s="16">
        <v>162</v>
      </c>
      <c r="E41" s="15">
        <v>5.3773148148148153E-2</v>
      </c>
      <c r="F41" s="6">
        <v>19</v>
      </c>
      <c r="G41" s="16" t="s">
        <v>78</v>
      </c>
      <c r="H41" s="16" t="s">
        <v>169</v>
      </c>
    </row>
    <row r="42" spans="1:8" x14ac:dyDescent="0.25">
      <c r="A42" s="6">
        <v>20</v>
      </c>
      <c r="B42" s="14" t="s">
        <v>231</v>
      </c>
      <c r="C42" s="14" t="s">
        <v>18</v>
      </c>
      <c r="D42" s="16">
        <v>168</v>
      </c>
      <c r="E42" s="15">
        <v>5.4965277777777773E-2</v>
      </c>
      <c r="F42" s="6">
        <v>20</v>
      </c>
      <c r="G42" s="16" t="s">
        <v>78</v>
      </c>
      <c r="H42" s="16" t="s">
        <v>169</v>
      </c>
    </row>
    <row r="43" spans="1:8" x14ac:dyDescent="0.25">
      <c r="A43" s="6">
        <v>21</v>
      </c>
      <c r="B43" s="14" t="s">
        <v>287</v>
      </c>
      <c r="C43" s="14" t="s">
        <v>54</v>
      </c>
      <c r="D43" s="16">
        <v>132</v>
      </c>
      <c r="E43" s="15">
        <v>5.5682870370370369E-2</v>
      </c>
      <c r="F43" s="6">
        <v>21</v>
      </c>
      <c r="G43" s="16" t="s">
        <v>78</v>
      </c>
      <c r="H43" s="16" t="s">
        <v>169</v>
      </c>
    </row>
    <row r="44" spans="1:8" x14ac:dyDescent="0.25">
      <c r="A44" s="6">
        <v>22</v>
      </c>
      <c r="B44" s="14" t="s">
        <v>227</v>
      </c>
      <c r="C44" s="14" t="s">
        <v>40</v>
      </c>
      <c r="D44" s="16">
        <v>141</v>
      </c>
      <c r="E44" s="15">
        <v>5.6226851851851854E-2</v>
      </c>
      <c r="F44" s="6">
        <v>22</v>
      </c>
      <c r="G44" s="16" t="s">
        <v>78</v>
      </c>
      <c r="H44" s="16" t="s">
        <v>169</v>
      </c>
    </row>
    <row r="45" spans="1:8" x14ac:dyDescent="0.25">
      <c r="A45" s="6">
        <v>23</v>
      </c>
      <c r="B45" s="14" t="s">
        <v>222</v>
      </c>
      <c r="C45" s="14" t="s">
        <v>45</v>
      </c>
      <c r="D45" s="16" t="s">
        <v>121</v>
      </c>
      <c r="E45" s="15">
        <v>5.6504629629629627E-2</v>
      </c>
      <c r="F45" s="6">
        <v>23</v>
      </c>
      <c r="G45" s="16" t="s">
        <v>78</v>
      </c>
      <c r="H45" s="16" t="s">
        <v>169</v>
      </c>
    </row>
    <row r="46" spans="1:8" x14ac:dyDescent="0.25">
      <c r="A46" s="6">
        <v>24</v>
      </c>
      <c r="B46" s="14" t="s">
        <v>224</v>
      </c>
      <c r="C46" s="14" t="s">
        <v>45</v>
      </c>
      <c r="D46" s="16" t="s">
        <v>60</v>
      </c>
      <c r="E46" s="15">
        <v>5.7129629629629634E-2</v>
      </c>
      <c r="F46" s="6">
        <v>24</v>
      </c>
      <c r="G46" s="16" t="s">
        <v>78</v>
      </c>
      <c r="H46" s="16" t="s">
        <v>169</v>
      </c>
    </row>
    <row r="47" spans="1:8" x14ac:dyDescent="0.25">
      <c r="A47" s="6">
        <v>25</v>
      </c>
      <c r="B47" s="14" t="s">
        <v>329</v>
      </c>
      <c r="C47" s="14" t="s">
        <v>50</v>
      </c>
      <c r="D47" s="16" t="s">
        <v>197</v>
      </c>
      <c r="E47" s="15">
        <v>5.7268518518518517E-2</v>
      </c>
      <c r="F47" s="6">
        <v>25</v>
      </c>
      <c r="G47" s="16" t="s">
        <v>78</v>
      </c>
      <c r="H47" s="16" t="s">
        <v>169</v>
      </c>
    </row>
    <row r="48" spans="1:8" x14ac:dyDescent="0.25">
      <c r="A48" s="6">
        <v>26</v>
      </c>
      <c r="B48" s="14" t="s">
        <v>221</v>
      </c>
      <c r="C48" s="14" t="s">
        <v>39</v>
      </c>
      <c r="D48" s="16">
        <v>111</v>
      </c>
      <c r="E48" s="15">
        <v>5.7592592592592591E-2</v>
      </c>
      <c r="F48" s="6">
        <v>26</v>
      </c>
      <c r="G48" s="16" t="s">
        <v>78</v>
      </c>
      <c r="H48" s="16" t="s">
        <v>169</v>
      </c>
    </row>
    <row r="49" spans="1:8" x14ac:dyDescent="0.25">
      <c r="A49" s="6">
        <v>27</v>
      </c>
      <c r="B49" s="14" t="s">
        <v>267</v>
      </c>
      <c r="C49" s="14" t="s">
        <v>18</v>
      </c>
      <c r="D49" s="16" t="s">
        <v>59</v>
      </c>
      <c r="E49" s="15">
        <v>5.8182870370370371E-2</v>
      </c>
      <c r="F49" s="6">
        <v>27</v>
      </c>
      <c r="G49" s="16" t="s">
        <v>169</v>
      </c>
      <c r="H49" s="16"/>
    </row>
    <row r="50" spans="1:8" x14ac:dyDescent="0.25">
      <c r="A50" s="6">
        <v>28</v>
      </c>
      <c r="B50" s="14" t="s">
        <v>264</v>
      </c>
      <c r="C50" s="14" t="s">
        <v>13</v>
      </c>
      <c r="D50" s="16" t="s">
        <v>257</v>
      </c>
      <c r="E50" s="15">
        <v>5.8263888888888893E-2</v>
      </c>
      <c r="F50" s="6">
        <v>28</v>
      </c>
      <c r="G50" s="16" t="s">
        <v>78</v>
      </c>
      <c r="H50" s="16"/>
    </row>
    <row r="51" spans="1:8" x14ac:dyDescent="0.25">
      <c r="A51" s="6">
        <v>29</v>
      </c>
      <c r="B51" s="14" t="s">
        <v>269</v>
      </c>
      <c r="C51" s="14" t="s">
        <v>326</v>
      </c>
      <c r="D51" s="16">
        <v>117</v>
      </c>
      <c r="E51" s="15">
        <v>6.1875000000000006E-2</v>
      </c>
      <c r="F51" s="6">
        <v>29</v>
      </c>
      <c r="G51" s="16" t="s">
        <v>78</v>
      </c>
      <c r="H51" s="16"/>
    </row>
    <row r="52" spans="1:8" x14ac:dyDescent="0.25">
      <c r="A52" s="6">
        <v>30</v>
      </c>
      <c r="B52" s="14" t="s">
        <v>330</v>
      </c>
      <c r="C52" s="14" t="s">
        <v>83</v>
      </c>
      <c r="D52" s="16" t="s">
        <v>84</v>
      </c>
      <c r="E52" s="15">
        <v>6.1886574074074073E-2</v>
      </c>
      <c r="F52" s="6">
        <v>30</v>
      </c>
      <c r="G52" s="16" t="s">
        <v>169</v>
      </c>
      <c r="H52" s="16"/>
    </row>
    <row r="53" spans="1:8" x14ac:dyDescent="0.25">
      <c r="A53" s="6">
        <v>31</v>
      </c>
      <c r="B53" s="14" t="s">
        <v>331</v>
      </c>
      <c r="C53" s="14" t="s">
        <v>327</v>
      </c>
      <c r="D53" s="16" t="s">
        <v>53</v>
      </c>
      <c r="E53" s="15">
        <v>6.3182870370370361E-2</v>
      </c>
      <c r="F53" s="6">
        <v>31</v>
      </c>
      <c r="G53" s="16" t="s">
        <v>169</v>
      </c>
      <c r="H53" s="16"/>
    </row>
    <row r="54" spans="1:8" x14ac:dyDescent="0.25">
      <c r="A54" s="6">
        <v>32</v>
      </c>
      <c r="B54" s="14" t="s">
        <v>226</v>
      </c>
      <c r="C54" s="14" t="s">
        <v>18</v>
      </c>
      <c r="D54" s="16">
        <v>156</v>
      </c>
      <c r="E54" s="15">
        <v>6.3321759259259258E-2</v>
      </c>
      <c r="F54" s="6">
        <v>32</v>
      </c>
      <c r="G54" s="16" t="s">
        <v>78</v>
      </c>
      <c r="H54" s="16"/>
    </row>
    <row r="55" spans="1:8" x14ac:dyDescent="0.25">
      <c r="A55" s="6">
        <v>33</v>
      </c>
      <c r="B55" s="14" t="s">
        <v>334</v>
      </c>
      <c r="C55" s="14" t="s">
        <v>328</v>
      </c>
      <c r="D55" s="16" t="s">
        <v>198</v>
      </c>
      <c r="E55" s="15">
        <v>6.548611111111112E-2</v>
      </c>
      <c r="F55" s="6">
        <v>33</v>
      </c>
      <c r="G55" s="16" t="s">
        <v>169</v>
      </c>
      <c r="H55" s="16"/>
    </row>
    <row r="56" spans="1:8" x14ac:dyDescent="0.25">
      <c r="A56" s="6">
        <v>34</v>
      </c>
      <c r="B56" s="14" t="s">
        <v>332</v>
      </c>
      <c r="C56" s="14" t="s">
        <v>327</v>
      </c>
      <c r="D56" s="16" t="s">
        <v>95</v>
      </c>
      <c r="E56" s="15">
        <v>6.6701388888888893E-2</v>
      </c>
      <c r="F56" s="6">
        <v>34</v>
      </c>
      <c r="G56" s="16" t="s">
        <v>169</v>
      </c>
      <c r="H56" s="16"/>
    </row>
    <row r="57" spans="1:8" x14ac:dyDescent="0.25">
      <c r="A57" s="6">
        <v>35</v>
      </c>
      <c r="B57" s="14" t="s">
        <v>286</v>
      </c>
      <c r="C57" s="14" t="s">
        <v>50</v>
      </c>
      <c r="D57" s="16" t="s">
        <v>203</v>
      </c>
      <c r="E57" s="15">
        <v>6.9236111111111109E-2</v>
      </c>
      <c r="F57" s="6">
        <v>35</v>
      </c>
      <c r="G57" s="16" t="s">
        <v>78</v>
      </c>
      <c r="H57" s="16"/>
    </row>
    <row r="60" spans="1:8" x14ac:dyDescent="0.25">
      <c r="B60" s="2" t="s">
        <v>187</v>
      </c>
      <c r="C60" s="2"/>
    </row>
    <row r="61" spans="1:8" x14ac:dyDescent="0.25">
      <c r="B61" s="2" t="s">
        <v>335</v>
      </c>
      <c r="C61" s="2"/>
    </row>
    <row r="62" spans="1:8" x14ac:dyDescent="0.25">
      <c r="B62" s="2" t="s">
        <v>189</v>
      </c>
      <c r="C62" s="2"/>
    </row>
    <row r="63" spans="1:8" x14ac:dyDescent="0.25">
      <c r="B63" s="2" t="s">
        <v>336</v>
      </c>
      <c r="C63" s="2"/>
    </row>
    <row r="64" spans="1:8" x14ac:dyDescent="0.25">
      <c r="B64" s="2"/>
      <c r="C64" s="2"/>
    </row>
    <row r="65" spans="2:5" x14ac:dyDescent="0.25">
      <c r="B65" s="2" t="s">
        <v>29</v>
      </c>
      <c r="C65" s="8" t="s">
        <v>42</v>
      </c>
    </row>
    <row r="66" spans="2:5" x14ac:dyDescent="0.25">
      <c r="B66" s="2" t="s">
        <v>30</v>
      </c>
      <c r="C66" s="8" t="s">
        <v>43</v>
      </c>
    </row>
    <row r="68" spans="2:5" x14ac:dyDescent="0.25">
      <c r="D68" s="52"/>
    </row>
    <row r="72" spans="2:5" x14ac:dyDescent="0.25">
      <c r="E72" s="53"/>
    </row>
    <row r="73" spans="2:5" x14ac:dyDescent="0.25">
      <c r="E73" s="54"/>
    </row>
    <row r="74" spans="2:5" x14ac:dyDescent="0.25">
      <c r="E74" s="53"/>
    </row>
    <row r="75" spans="2:5" x14ac:dyDescent="0.25">
      <c r="E75" s="54"/>
    </row>
    <row r="76" spans="2:5" x14ac:dyDescent="0.25">
      <c r="E76" s="53"/>
    </row>
    <row r="77" spans="2:5" x14ac:dyDescent="0.25">
      <c r="E77" s="54"/>
    </row>
    <row r="78" spans="2:5" x14ac:dyDescent="0.25">
      <c r="E78" s="53"/>
    </row>
    <row r="79" spans="2:5" x14ac:dyDescent="0.25">
      <c r="E79" s="54"/>
    </row>
    <row r="80" spans="2:5" x14ac:dyDescent="0.25">
      <c r="E80" s="53"/>
    </row>
    <row r="81" spans="5:5" x14ac:dyDescent="0.25">
      <c r="E81" s="54"/>
    </row>
    <row r="82" spans="5:5" x14ac:dyDescent="0.25">
      <c r="E82" s="53"/>
    </row>
    <row r="83" spans="5:5" x14ac:dyDescent="0.25">
      <c r="E83" s="54"/>
    </row>
    <row r="84" spans="5:5" x14ac:dyDescent="0.25">
      <c r="E84" s="53"/>
    </row>
    <row r="85" spans="5:5" x14ac:dyDescent="0.25">
      <c r="E85" s="54"/>
    </row>
    <row r="86" spans="5:5" x14ac:dyDescent="0.25">
      <c r="E86" s="53"/>
    </row>
    <row r="87" spans="5:5" x14ac:dyDescent="0.25">
      <c r="E87" s="54"/>
    </row>
    <row r="88" spans="5:5" x14ac:dyDescent="0.25">
      <c r="E88" s="53"/>
    </row>
    <row r="89" spans="5:5" x14ac:dyDescent="0.25">
      <c r="E89" s="54"/>
    </row>
    <row r="90" spans="5:5" x14ac:dyDescent="0.25">
      <c r="E90" s="53"/>
    </row>
    <row r="91" spans="5:5" x14ac:dyDescent="0.25">
      <c r="E91" s="54"/>
    </row>
    <row r="92" spans="5:5" x14ac:dyDescent="0.25">
      <c r="E92" s="53"/>
    </row>
    <row r="93" spans="5:5" x14ac:dyDescent="0.25">
      <c r="E93" s="54"/>
    </row>
    <row r="94" spans="5:5" x14ac:dyDescent="0.25">
      <c r="E94" s="53"/>
    </row>
    <row r="95" spans="5:5" x14ac:dyDescent="0.25">
      <c r="E95" s="54"/>
    </row>
    <row r="96" spans="5:5" x14ac:dyDescent="0.25">
      <c r="E96" s="53"/>
    </row>
    <row r="97" spans="5:5" x14ac:dyDescent="0.25">
      <c r="E97" s="54"/>
    </row>
    <row r="98" spans="5:5" x14ac:dyDescent="0.25">
      <c r="E98" s="53"/>
    </row>
    <row r="99" spans="5:5" x14ac:dyDescent="0.25">
      <c r="E99" s="54"/>
    </row>
    <row r="100" spans="5:5" x14ac:dyDescent="0.25">
      <c r="E100" s="5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topLeftCell="A46" workbookViewId="0">
      <selection activeCell="F68" sqref="F68"/>
    </sheetView>
  </sheetViews>
  <sheetFormatPr defaultRowHeight="13.2" x14ac:dyDescent="0.25"/>
  <cols>
    <col min="1" max="1" width="9.21875" style="2" customWidth="1"/>
    <col min="2" max="2" width="26.6640625" style="2" customWidth="1"/>
    <col min="3" max="3" width="13.88671875" style="2"/>
    <col min="4" max="4" width="14.6640625" style="2"/>
    <col min="5" max="5" width="12.44140625" style="3"/>
    <col min="6" max="6" width="9.21875" style="2"/>
    <col min="7" max="7" width="14.6640625" style="2"/>
    <col min="8" max="8" width="10.5546875" style="2"/>
    <col min="9" max="9" width="11.77734375" style="2"/>
    <col min="10" max="16384" width="8.88671875" style="2"/>
  </cols>
  <sheetData>
    <row r="1" spans="1:8" x14ac:dyDescent="0.25">
      <c r="A1" s="2" t="s">
        <v>0</v>
      </c>
      <c r="D1" s="3"/>
      <c r="F1" s="3"/>
      <c r="G1" s="3"/>
      <c r="H1" s="3"/>
    </row>
    <row r="2" spans="1:8" x14ac:dyDescent="0.25">
      <c r="A2" s="2" t="s">
        <v>1</v>
      </c>
      <c r="D2" s="3"/>
      <c r="F2" s="3"/>
      <c r="G2" s="3"/>
      <c r="H2" s="3"/>
    </row>
    <row r="3" spans="1:8" x14ac:dyDescent="0.25">
      <c r="D3" s="3"/>
      <c r="F3" s="3"/>
      <c r="G3" s="3"/>
      <c r="H3" s="3"/>
    </row>
    <row r="4" spans="1:8" x14ac:dyDescent="0.25">
      <c r="A4" s="2" t="s">
        <v>31</v>
      </c>
      <c r="D4" s="3"/>
      <c r="F4" s="3"/>
      <c r="G4" s="3"/>
      <c r="H4" s="3"/>
    </row>
    <row r="5" spans="1:8" x14ac:dyDescent="0.25">
      <c r="A5" s="2" t="s">
        <v>32</v>
      </c>
      <c r="D5" s="3"/>
      <c r="F5" s="3"/>
      <c r="G5" s="3"/>
      <c r="H5" s="3"/>
    </row>
    <row r="6" spans="1:8" x14ac:dyDescent="0.25">
      <c r="D6" s="3"/>
      <c r="F6" s="3"/>
      <c r="G6" s="3"/>
      <c r="H6" s="3"/>
    </row>
    <row r="7" spans="1:8" x14ac:dyDescent="0.25">
      <c r="A7" s="2" t="s">
        <v>139</v>
      </c>
      <c r="D7" s="3"/>
      <c r="F7" s="3"/>
      <c r="G7" s="3"/>
      <c r="H7" s="3"/>
    </row>
    <row r="8" spans="1:8" x14ac:dyDescent="0.25">
      <c r="A8" s="2" t="s">
        <v>140</v>
      </c>
      <c r="D8" s="3"/>
      <c r="F8" s="3"/>
      <c r="G8" s="3"/>
      <c r="H8" s="3"/>
    </row>
    <row r="9" spans="1:8" x14ac:dyDescent="0.25">
      <c r="D9" s="3"/>
      <c r="F9" s="3"/>
      <c r="G9" s="3"/>
      <c r="H9" s="3"/>
    </row>
    <row r="10" spans="1:8" x14ac:dyDescent="0.25">
      <c r="A10" s="2" t="s">
        <v>317</v>
      </c>
      <c r="D10" s="3"/>
      <c r="F10" s="3"/>
      <c r="G10" s="3"/>
      <c r="H10" s="3"/>
    </row>
    <row r="11" spans="1:8" x14ac:dyDescent="0.25">
      <c r="A11" s="2" t="s">
        <v>142</v>
      </c>
      <c r="D11" s="3"/>
      <c r="F11" s="3"/>
      <c r="G11" s="3"/>
      <c r="H11" s="3"/>
    </row>
    <row r="12" spans="1:8" x14ac:dyDescent="0.25">
      <c r="D12" s="3"/>
      <c r="F12" s="3"/>
      <c r="G12" s="3"/>
      <c r="H12" s="3"/>
    </row>
    <row r="13" spans="1:8" x14ac:dyDescent="0.25">
      <c r="A13" s="2" t="s">
        <v>341</v>
      </c>
      <c r="D13" s="3"/>
      <c r="F13" s="3"/>
      <c r="G13" s="3"/>
      <c r="H13" s="3"/>
    </row>
    <row r="14" spans="1:8" x14ac:dyDescent="0.25">
      <c r="A14" s="2" t="s">
        <v>342</v>
      </c>
      <c r="D14" s="3"/>
      <c r="F14" s="3"/>
      <c r="G14" s="3"/>
      <c r="H14" s="3"/>
    </row>
    <row r="15" spans="1:8" x14ac:dyDescent="0.25">
      <c r="A15" s="2" t="s">
        <v>320</v>
      </c>
      <c r="D15" s="3"/>
      <c r="F15" s="3"/>
      <c r="G15" s="3"/>
      <c r="H15" s="3"/>
    </row>
    <row r="16" spans="1:8" x14ac:dyDescent="0.25">
      <c r="D16" s="3"/>
      <c r="F16" s="3"/>
      <c r="G16" s="3"/>
      <c r="H16" s="3"/>
    </row>
    <row r="17" spans="1:8" x14ac:dyDescent="0.25">
      <c r="A17" s="2" t="s">
        <v>343</v>
      </c>
      <c r="D17" s="3"/>
      <c r="F17" s="3"/>
      <c r="G17" s="3"/>
      <c r="H17" s="3"/>
    </row>
    <row r="18" spans="1:8" x14ac:dyDescent="0.25">
      <c r="D18" s="3"/>
      <c r="F18" s="3"/>
      <c r="G18" s="3"/>
      <c r="H18" s="3"/>
    </row>
    <row r="19" spans="1:8" x14ac:dyDescent="0.25">
      <c r="A19" s="2" t="s">
        <v>344</v>
      </c>
      <c r="D19" s="3"/>
      <c r="F19" s="3"/>
      <c r="G19" s="3"/>
      <c r="H19" s="3"/>
    </row>
    <row r="20" spans="1:8" x14ac:dyDescent="0.25">
      <c r="D20" s="3"/>
      <c r="F20" s="3"/>
      <c r="G20" s="3"/>
      <c r="H20" s="3"/>
    </row>
    <row r="21" spans="1:8" x14ac:dyDescent="0.25">
      <c r="D21" s="3"/>
      <c r="F21" s="3"/>
      <c r="G21" s="3"/>
      <c r="H21" s="3"/>
    </row>
    <row r="22" spans="1:8" ht="39.6" x14ac:dyDescent="0.25">
      <c r="A22" s="4" t="s">
        <v>33</v>
      </c>
      <c r="B22" s="4" t="s">
        <v>148</v>
      </c>
      <c r="C22" s="4" t="s">
        <v>6</v>
      </c>
      <c r="D22" s="4" t="s">
        <v>149</v>
      </c>
      <c r="E22" s="4" t="s">
        <v>150</v>
      </c>
      <c r="F22" s="4" t="s">
        <v>34</v>
      </c>
      <c r="G22" s="4" t="s">
        <v>151</v>
      </c>
      <c r="H22" s="4" t="s">
        <v>152</v>
      </c>
    </row>
    <row r="23" spans="1:8" x14ac:dyDescent="0.25">
      <c r="A23" s="56">
        <v>1</v>
      </c>
      <c r="B23" s="57" t="s">
        <v>160</v>
      </c>
      <c r="C23" s="57" t="s">
        <v>326</v>
      </c>
      <c r="D23" s="56"/>
      <c r="E23" s="58">
        <v>5.7766203703703702E-2</v>
      </c>
      <c r="F23" s="56">
        <v>1</v>
      </c>
      <c r="G23" s="56" t="s">
        <v>78</v>
      </c>
      <c r="H23" s="56" t="s">
        <v>78</v>
      </c>
    </row>
    <row r="24" spans="1:8" x14ac:dyDescent="0.25">
      <c r="A24" s="6">
        <v>2</v>
      </c>
      <c r="B24" s="7" t="s">
        <v>174</v>
      </c>
      <c r="C24" s="7" t="s">
        <v>83</v>
      </c>
      <c r="D24" s="7" t="s">
        <v>309</v>
      </c>
      <c r="E24" s="11">
        <v>5.859953703703704E-2</v>
      </c>
      <c r="F24" s="6">
        <v>2</v>
      </c>
      <c r="G24" s="56" t="s">
        <v>78</v>
      </c>
      <c r="H24" s="56" t="s">
        <v>78</v>
      </c>
    </row>
    <row r="25" spans="1:8" x14ac:dyDescent="0.25">
      <c r="A25" s="56">
        <v>3</v>
      </c>
      <c r="B25" s="7" t="s">
        <v>47</v>
      </c>
      <c r="C25" s="7" t="s">
        <v>326</v>
      </c>
      <c r="D25" s="7" t="s">
        <v>76</v>
      </c>
      <c r="E25" s="11">
        <v>5.8726851851851856E-2</v>
      </c>
      <c r="F25" s="56">
        <v>3</v>
      </c>
      <c r="G25" s="56" t="s">
        <v>78</v>
      </c>
      <c r="H25" s="56" t="s">
        <v>78</v>
      </c>
    </row>
    <row r="26" spans="1:8" x14ac:dyDescent="0.25">
      <c r="A26" s="6">
        <v>4</v>
      </c>
      <c r="B26" s="7" t="s">
        <v>153</v>
      </c>
      <c r="C26" s="7" t="s">
        <v>326</v>
      </c>
      <c r="D26" s="7" t="s">
        <v>337</v>
      </c>
      <c r="E26" s="11">
        <v>6.04050925925926E-2</v>
      </c>
      <c r="F26" s="6">
        <v>4</v>
      </c>
      <c r="G26" s="56" t="s">
        <v>78</v>
      </c>
      <c r="H26" s="56" t="s">
        <v>78</v>
      </c>
    </row>
    <row r="27" spans="1:8" x14ac:dyDescent="0.25">
      <c r="A27" s="56">
        <v>5</v>
      </c>
      <c r="B27" s="7" t="s">
        <v>355</v>
      </c>
      <c r="C27" s="7" t="s">
        <v>13</v>
      </c>
      <c r="D27" s="7" t="s">
        <v>310</v>
      </c>
      <c r="E27" s="11">
        <v>6.0451388888888895E-2</v>
      </c>
      <c r="F27" s="56">
        <v>5</v>
      </c>
      <c r="G27" s="56" t="s">
        <v>78</v>
      </c>
      <c r="H27" s="56" t="s">
        <v>78</v>
      </c>
    </row>
    <row r="28" spans="1:8" x14ac:dyDescent="0.25">
      <c r="A28" s="6">
        <v>6</v>
      </c>
      <c r="B28" s="7" t="s">
        <v>97</v>
      </c>
      <c r="C28" s="7" t="s">
        <v>65</v>
      </c>
      <c r="D28" s="7" t="s">
        <v>51</v>
      </c>
      <c r="E28" s="11">
        <v>6.0648148148148145E-2</v>
      </c>
      <c r="F28" s="6">
        <v>6</v>
      </c>
      <c r="G28" s="56" t="s">
        <v>78</v>
      </c>
      <c r="H28" s="56" t="s">
        <v>78</v>
      </c>
    </row>
    <row r="29" spans="1:8" x14ac:dyDescent="0.25">
      <c r="A29" s="56">
        <v>7</v>
      </c>
      <c r="B29" s="7" t="s">
        <v>93</v>
      </c>
      <c r="C29" s="7" t="s">
        <v>13</v>
      </c>
      <c r="D29" s="7" t="s">
        <v>192</v>
      </c>
      <c r="E29" s="11">
        <v>6.084490740740741E-2</v>
      </c>
      <c r="F29" s="56">
        <v>7</v>
      </c>
      <c r="G29" s="56" t="s">
        <v>78</v>
      </c>
      <c r="H29" s="56" t="s">
        <v>78</v>
      </c>
    </row>
    <row r="30" spans="1:8" x14ac:dyDescent="0.25">
      <c r="A30" s="6">
        <v>8</v>
      </c>
      <c r="B30" s="7" t="s">
        <v>156</v>
      </c>
      <c r="C30" s="7" t="s">
        <v>50</v>
      </c>
      <c r="D30" s="7" t="s">
        <v>199</v>
      </c>
      <c r="E30" s="11">
        <v>6.1099537037037042E-2</v>
      </c>
      <c r="F30" s="6">
        <v>8</v>
      </c>
      <c r="G30" s="56" t="s">
        <v>78</v>
      </c>
      <c r="H30" s="56" t="s">
        <v>78</v>
      </c>
    </row>
    <row r="31" spans="1:8" x14ac:dyDescent="0.25">
      <c r="A31" s="56">
        <v>9</v>
      </c>
      <c r="B31" s="7" t="s">
        <v>56</v>
      </c>
      <c r="C31" s="7" t="s">
        <v>45</v>
      </c>
      <c r="D31" s="7" t="s">
        <v>207</v>
      </c>
      <c r="E31" s="11">
        <v>6.1875000000000006E-2</v>
      </c>
      <c r="F31" s="56">
        <v>9</v>
      </c>
      <c r="G31" s="56" t="s">
        <v>78</v>
      </c>
      <c r="H31" s="56" t="s">
        <v>78</v>
      </c>
    </row>
    <row r="32" spans="1:8" x14ac:dyDescent="0.25">
      <c r="A32" s="6">
        <v>10</v>
      </c>
      <c r="B32" s="7" t="s">
        <v>163</v>
      </c>
      <c r="C32" s="7" t="s">
        <v>326</v>
      </c>
      <c r="D32" s="7" t="s">
        <v>134</v>
      </c>
      <c r="E32" s="11">
        <v>6.1921296296296301E-2</v>
      </c>
      <c r="F32" s="6">
        <v>10</v>
      </c>
      <c r="G32" s="56" t="s">
        <v>78</v>
      </c>
      <c r="H32" s="56" t="s">
        <v>78</v>
      </c>
    </row>
    <row r="33" spans="1:8" x14ac:dyDescent="0.25">
      <c r="A33" s="56">
        <v>11</v>
      </c>
      <c r="B33" s="7" t="s">
        <v>49</v>
      </c>
      <c r="C33" s="7" t="s">
        <v>50</v>
      </c>
      <c r="D33" s="7" t="s">
        <v>338</v>
      </c>
      <c r="E33" s="11">
        <v>6.2071759259259257E-2</v>
      </c>
      <c r="F33" s="56">
        <v>11</v>
      </c>
      <c r="G33" s="56" t="s">
        <v>78</v>
      </c>
      <c r="H33" s="56" t="s">
        <v>78</v>
      </c>
    </row>
    <row r="34" spans="1:8" x14ac:dyDescent="0.25">
      <c r="A34" s="6">
        <v>12</v>
      </c>
      <c r="B34" s="7" t="s">
        <v>154</v>
      </c>
      <c r="C34" s="7" t="s">
        <v>45</v>
      </c>
      <c r="D34" s="7" t="s">
        <v>89</v>
      </c>
      <c r="E34" s="11">
        <v>6.2615740740740736E-2</v>
      </c>
      <c r="F34" s="6">
        <v>12</v>
      </c>
      <c r="G34" s="56" t="s">
        <v>78</v>
      </c>
      <c r="H34" s="56" t="s">
        <v>78</v>
      </c>
    </row>
    <row r="35" spans="1:8" x14ac:dyDescent="0.25">
      <c r="A35" s="56">
        <v>13</v>
      </c>
      <c r="B35" s="7" t="s">
        <v>75</v>
      </c>
      <c r="C35" s="7" t="s">
        <v>65</v>
      </c>
      <c r="D35" s="7" t="s">
        <v>339</v>
      </c>
      <c r="E35" s="11">
        <v>6.2708333333333324E-2</v>
      </c>
      <c r="F35" s="56">
        <v>13</v>
      </c>
      <c r="G35" s="56" t="s">
        <v>78</v>
      </c>
      <c r="H35" s="56" t="s">
        <v>78</v>
      </c>
    </row>
    <row r="36" spans="1:8" x14ac:dyDescent="0.25">
      <c r="A36" s="6">
        <v>14</v>
      </c>
      <c r="B36" s="7" t="s">
        <v>86</v>
      </c>
      <c r="C36" s="7" t="s">
        <v>45</v>
      </c>
      <c r="D36" s="7" t="s">
        <v>209</v>
      </c>
      <c r="E36" s="11">
        <v>6.2812499999999993E-2</v>
      </c>
      <c r="F36" s="6">
        <v>14</v>
      </c>
      <c r="G36" s="6" t="s">
        <v>169</v>
      </c>
      <c r="H36" s="56" t="s">
        <v>78</v>
      </c>
    </row>
    <row r="37" spans="1:8" x14ac:dyDescent="0.25">
      <c r="A37" s="56">
        <v>15</v>
      </c>
      <c r="B37" s="7" t="s">
        <v>155</v>
      </c>
      <c r="C37" s="7" t="s">
        <v>54</v>
      </c>
      <c r="D37" s="7" t="s">
        <v>340</v>
      </c>
      <c r="E37" s="11">
        <v>6.3032407407407412E-2</v>
      </c>
      <c r="F37" s="56">
        <v>15</v>
      </c>
      <c r="G37" s="56" t="s">
        <v>78</v>
      </c>
      <c r="H37" s="56" t="s">
        <v>78</v>
      </c>
    </row>
    <row r="38" spans="1:8" x14ac:dyDescent="0.25">
      <c r="A38" s="6">
        <v>16</v>
      </c>
      <c r="B38" s="7" t="s">
        <v>172</v>
      </c>
      <c r="C38" s="7" t="s">
        <v>18</v>
      </c>
      <c r="D38" s="7" t="s">
        <v>248</v>
      </c>
      <c r="E38" s="11">
        <v>6.3182870370370361E-2</v>
      </c>
      <c r="F38" s="6">
        <v>16</v>
      </c>
      <c r="G38" s="56" t="s">
        <v>78</v>
      </c>
      <c r="H38" s="6" t="s">
        <v>169</v>
      </c>
    </row>
    <row r="39" spans="1:8" x14ac:dyDescent="0.25">
      <c r="A39" s="56">
        <v>17</v>
      </c>
      <c r="B39" s="7" t="s">
        <v>80</v>
      </c>
      <c r="C39" s="7" t="s">
        <v>18</v>
      </c>
      <c r="D39" s="7" t="s">
        <v>210</v>
      </c>
      <c r="E39" s="11">
        <v>6.3356481481481486E-2</v>
      </c>
      <c r="F39" s="56">
        <v>17</v>
      </c>
      <c r="G39" s="56" t="s">
        <v>78</v>
      </c>
      <c r="H39" s="6" t="s">
        <v>169</v>
      </c>
    </row>
    <row r="40" spans="1:8" x14ac:dyDescent="0.25">
      <c r="A40" s="6">
        <v>18</v>
      </c>
      <c r="B40" s="7" t="s">
        <v>71</v>
      </c>
      <c r="C40" s="7" t="s">
        <v>13</v>
      </c>
      <c r="D40" s="7" t="s">
        <v>101</v>
      </c>
      <c r="E40" s="11">
        <v>6.3368055555555566E-2</v>
      </c>
      <c r="F40" s="6">
        <v>18</v>
      </c>
      <c r="G40" s="56" t="s">
        <v>78</v>
      </c>
      <c r="H40" s="6" t="s">
        <v>169</v>
      </c>
    </row>
    <row r="41" spans="1:8" x14ac:dyDescent="0.25">
      <c r="A41" s="56">
        <v>19</v>
      </c>
      <c r="B41" s="7" t="s">
        <v>159</v>
      </c>
      <c r="C41" s="7" t="s">
        <v>326</v>
      </c>
      <c r="D41" s="7" t="s">
        <v>262</v>
      </c>
      <c r="E41" s="11">
        <v>6.3483796296296302E-2</v>
      </c>
      <c r="F41" s="56">
        <v>19</v>
      </c>
      <c r="G41" s="56" t="s">
        <v>78</v>
      </c>
      <c r="H41" s="6" t="s">
        <v>169</v>
      </c>
    </row>
    <row r="42" spans="1:8" x14ac:dyDescent="0.25">
      <c r="A42" s="6">
        <v>20</v>
      </c>
      <c r="B42" s="7" t="s">
        <v>165</v>
      </c>
      <c r="C42" s="7" t="s">
        <v>45</v>
      </c>
      <c r="D42" s="7" t="s">
        <v>244</v>
      </c>
      <c r="E42" s="11">
        <v>6.3692129629629626E-2</v>
      </c>
      <c r="F42" s="6">
        <v>20</v>
      </c>
      <c r="G42" s="56" t="s">
        <v>78</v>
      </c>
      <c r="H42" s="6" t="s">
        <v>169</v>
      </c>
    </row>
    <row r="43" spans="1:8" x14ac:dyDescent="0.25">
      <c r="A43" s="56">
        <v>21</v>
      </c>
      <c r="B43" s="7" t="s">
        <v>349</v>
      </c>
      <c r="C43" s="7" t="s">
        <v>18</v>
      </c>
      <c r="D43" s="7" t="s">
        <v>133</v>
      </c>
      <c r="E43" s="11">
        <v>6.3715277777777787E-2</v>
      </c>
      <c r="F43" s="56">
        <v>21</v>
      </c>
      <c r="G43" s="56" t="s">
        <v>78</v>
      </c>
      <c r="H43" s="6" t="s">
        <v>169</v>
      </c>
    </row>
    <row r="44" spans="1:8" x14ac:dyDescent="0.25">
      <c r="A44" s="6">
        <v>22</v>
      </c>
      <c r="B44" s="7" t="s">
        <v>158</v>
      </c>
      <c r="C44" s="7" t="s">
        <v>50</v>
      </c>
      <c r="D44" s="7" t="s">
        <v>259</v>
      </c>
      <c r="E44" s="11">
        <v>6.3865740740740737E-2</v>
      </c>
      <c r="F44" s="6">
        <v>22</v>
      </c>
      <c r="G44" s="56" t="s">
        <v>78</v>
      </c>
      <c r="H44" s="6" t="s">
        <v>169</v>
      </c>
    </row>
    <row r="45" spans="1:8" x14ac:dyDescent="0.25">
      <c r="A45" s="56">
        <v>23</v>
      </c>
      <c r="B45" s="7" t="s">
        <v>350</v>
      </c>
      <c r="C45" s="7" t="s">
        <v>18</v>
      </c>
      <c r="D45" s="7" t="s">
        <v>208</v>
      </c>
      <c r="E45" s="11">
        <v>6.400462962962962E-2</v>
      </c>
      <c r="F45" s="56">
        <v>23</v>
      </c>
      <c r="G45" s="56" t="s">
        <v>78</v>
      </c>
      <c r="H45" s="6" t="s">
        <v>169</v>
      </c>
    </row>
    <row r="46" spans="1:8" x14ac:dyDescent="0.25">
      <c r="A46" s="6">
        <v>24</v>
      </c>
      <c r="B46" s="7" t="s">
        <v>100</v>
      </c>
      <c r="C46" s="7" t="s">
        <v>83</v>
      </c>
      <c r="D46" s="7" t="s">
        <v>345</v>
      </c>
      <c r="E46" s="11">
        <v>6.4675925925925928E-2</v>
      </c>
      <c r="F46" s="6">
        <v>24</v>
      </c>
      <c r="G46" s="56" t="s">
        <v>78</v>
      </c>
      <c r="H46" s="6" t="s">
        <v>169</v>
      </c>
    </row>
    <row r="47" spans="1:8" x14ac:dyDescent="0.25">
      <c r="A47" s="56">
        <v>25</v>
      </c>
      <c r="B47" s="7" t="s">
        <v>58</v>
      </c>
      <c r="C47" s="7" t="s">
        <v>45</v>
      </c>
      <c r="D47" s="7" t="s">
        <v>110</v>
      </c>
      <c r="E47" s="59">
        <v>6.4780092592592597E-2</v>
      </c>
      <c r="F47" s="56">
        <v>25</v>
      </c>
      <c r="G47" s="56" t="s">
        <v>78</v>
      </c>
      <c r="H47" s="6" t="s">
        <v>169</v>
      </c>
    </row>
    <row r="48" spans="1:8" x14ac:dyDescent="0.25">
      <c r="A48" s="6">
        <v>26</v>
      </c>
      <c r="B48" s="7" t="s">
        <v>164</v>
      </c>
      <c r="C48" s="7" t="s">
        <v>326</v>
      </c>
      <c r="D48" s="7" t="s">
        <v>128</v>
      </c>
      <c r="E48" s="59">
        <v>6.4849537037037039E-2</v>
      </c>
      <c r="F48" s="6">
        <v>26</v>
      </c>
      <c r="G48" s="56" t="s">
        <v>78</v>
      </c>
      <c r="H48" s="6" t="s">
        <v>169</v>
      </c>
    </row>
    <row r="49" spans="1:8" x14ac:dyDescent="0.25">
      <c r="A49" s="56">
        <v>27</v>
      </c>
      <c r="B49" s="7" t="s">
        <v>166</v>
      </c>
      <c r="C49" s="7" t="s">
        <v>50</v>
      </c>
      <c r="D49" s="7" t="s">
        <v>70</v>
      </c>
      <c r="E49" s="59">
        <v>6.4942129629629627E-2</v>
      </c>
      <c r="F49" s="56">
        <v>27</v>
      </c>
      <c r="G49" s="56" t="s">
        <v>78</v>
      </c>
      <c r="H49" s="6" t="s">
        <v>169</v>
      </c>
    </row>
    <row r="50" spans="1:8" x14ac:dyDescent="0.25">
      <c r="A50" s="6">
        <v>28</v>
      </c>
      <c r="B50" s="7" t="s">
        <v>175</v>
      </c>
      <c r="C50" s="7" t="s">
        <v>326</v>
      </c>
      <c r="D50" s="7" t="s">
        <v>46</v>
      </c>
      <c r="E50" s="59">
        <v>6.5543981481481481E-2</v>
      </c>
      <c r="F50" s="6">
        <v>28</v>
      </c>
      <c r="G50" s="56" t="s">
        <v>78</v>
      </c>
      <c r="H50" s="6" t="s">
        <v>169</v>
      </c>
    </row>
    <row r="51" spans="1:8" x14ac:dyDescent="0.25">
      <c r="A51" s="56">
        <v>29</v>
      </c>
      <c r="B51" s="7" t="s">
        <v>351</v>
      </c>
      <c r="C51" s="7" t="s">
        <v>83</v>
      </c>
      <c r="D51" s="7" t="s">
        <v>346</v>
      </c>
      <c r="E51" s="59">
        <v>6.598379629629629E-2</v>
      </c>
      <c r="F51" s="56">
        <v>29</v>
      </c>
      <c r="G51" s="56" t="s">
        <v>78</v>
      </c>
      <c r="H51" s="6" t="s">
        <v>169</v>
      </c>
    </row>
    <row r="52" spans="1:8" x14ac:dyDescent="0.25">
      <c r="A52" s="6">
        <v>30</v>
      </c>
      <c r="B52" s="7" t="s">
        <v>173</v>
      </c>
      <c r="C52" s="7" t="s">
        <v>54</v>
      </c>
      <c r="D52" s="7" t="s">
        <v>246</v>
      </c>
      <c r="E52" s="59">
        <v>6.6400462962962967E-2</v>
      </c>
      <c r="F52" s="6">
        <v>30</v>
      </c>
      <c r="G52" s="56" t="s">
        <v>78</v>
      </c>
      <c r="H52" s="6" t="s">
        <v>169</v>
      </c>
    </row>
    <row r="53" spans="1:8" x14ac:dyDescent="0.25">
      <c r="A53" s="56">
        <v>31</v>
      </c>
      <c r="B53" s="7" t="s">
        <v>352</v>
      </c>
      <c r="C53" s="7" t="s">
        <v>45</v>
      </c>
      <c r="D53" s="7" t="s">
        <v>347</v>
      </c>
      <c r="E53" s="59">
        <v>6.6631944444444438E-2</v>
      </c>
      <c r="F53" s="56">
        <v>31</v>
      </c>
      <c r="G53" s="56" t="s">
        <v>78</v>
      </c>
      <c r="H53" s="6" t="s">
        <v>169</v>
      </c>
    </row>
    <row r="54" spans="1:8" x14ac:dyDescent="0.25">
      <c r="A54" s="6">
        <v>32</v>
      </c>
      <c r="B54" s="7" t="s">
        <v>157</v>
      </c>
      <c r="C54" s="7" t="s">
        <v>45</v>
      </c>
      <c r="D54" s="7" t="s">
        <v>250</v>
      </c>
      <c r="E54" s="59">
        <v>6.6747685185185188E-2</v>
      </c>
      <c r="F54" s="6">
        <v>32</v>
      </c>
      <c r="G54" s="56" t="s">
        <v>78</v>
      </c>
      <c r="H54" s="6" t="s">
        <v>169</v>
      </c>
    </row>
    <row r="55" spans="1:8" x14ac:dyDescent="0.25">
      <c r="A55" s="56">
        <v>33</v>
      </c>
      <c r="B55" s="7" t="s">
        <v>69</v>
      </c>
      <c r="C55" s="7" t="s">
        <v>65</v>
      </c>
      <c r="D55" s="7" t="s">
        <v>201</v>
      </c>
      <c r="E55" s="59">
        <v>6.7638888888888887E-2</v>
      </c>
      <c r="F55" s="56">
        <v>33</v>
      </c>
      <c r="G55" s="56" t="s">
        <v>78</v>
      </c>
      <c r="H55" s="6" t="s">
        <v>169</v>
      </c>
    </row>
    <row r="56" spans="1:8" x14ac:dyDescent="0.25">
      <c r="A56" s="6">
        <v>34</v>
      </c>
      <c r="B56" s="7" t="s">
        <v>162</v>
      </c>
      <c r="C56" s="7" t="s">
        <v>83</v>
      </c>
      <c r="D56" s="7" t="s">
        <v>112</v>
      </c>
      <c r="E56" s="59">
        <v>7.1689814814814817E-2</v>
      </c>
      <c r="F56" s="6">
        <v>34</v>
      </c>
      <c r="G56" s="56" t="s">
        <v>78</v>
      </c>
      <c r="H56" s="6" t="s">
        <v>169</v>
      </c>
    </row>
    <row r="57" spans="1:8" x14ac:dyDescent="0.25">
      <c r="A57" s="56">
        <v>35</v>
      </c>
      <c r="B57" s="7" t="s">
        <v>353</v>
      </c>
      <c r="C57" s="7" t="s">
        <v>328</v>
      </c>
      <c r="D57" s="7" t="s">
        <v>119</v>
      </c>
      <c r="E57" s="59">
        <v>7.7291666666666661E-2</v>
      </c>
      <c r="F57" s="56">
        <v>35</v>
      </c>
      <c r="G57" s="6" t="s">
        <v>169</v>
      </c>
      <c r="H57" s="7"/>
    </row>
    <row r="58" spans="1:8" x14ac:dyDescent="0.25">
      <c r="A58" s="6">
        <v>36</v>
      </c>
      <c r="B58" s="7" t="s">
        <v>356</v>
      </c>
      <c r="C58" s="7" t="s">
        <v>54</v>
      </c>
      <c r="D58" s="7" t="s">
        <v>137</v>
      </c>
      <c r="E58" s="59">
        <v>7.8703703703703706E-2</v>
      </c>
      <c r="F58" s="6">
        <v>36</v>
      </c>
      <c r="G58" s="56" t="s">
        <v>78</v>
      </c>
      <c r="H58" s="7"/>
    </row>
    <row r="59" spans="1:8" x14ac:dyDescent="0.25">
      <c r="A59" s="56">
        <v>37</v>
      </c>
      <c r="B59" s="7" t="s">
        <v>357</v>
      </c>
      <c r="C59" s="7" t="s">
        <v>327</v>
      </c>
      <c r="D59" s="7" t="s">
        <v>243</v>
      </c>
      <c r="E59" s="59">
        <v>8.111111111111112E-2</v>
      </c>
      <c r="F59" s="56">
        <v>37</v>
      </c>
      <c r="G59" s="6" t="s">
        <v>169</v>
      </c>
      <c r="H59" s="7"/>
    </row>
    <row r="60" spans="1:8" x14ac:dyDescent="0.25">
      <c r="A60" s="6">
        <v>38</v>
      </c>
      <c r="B60" s="7" t="s">
        <v>354</v>
      </c>
      <c r="C60" s="7" t="s">
        <v>327</v>
      </c>
      <c r="D60" s="7" t="s">
        <v>72</v>
      </c>
      <c r="E60" s="59">
        <v>8.2905092592592586E-2</v>
      </c>
      <c r="F60" s="6">
        <v>38</v>
      </c>
      <c r="G60" s="6" t="s">
        <v>169</v>
      </c>
      <c r="H60" s="7"/>
    </row>
    <row r="61" spans="1:8" x14ac:dyDescent="0.25">
      <c r="A61" s="56">
        <v>39</v>
      </c>
      <c r="B61" s="7" t="s">
        <v>52</v>
      </c>
      <c r="C61" s="7" t="s">
        <v>65</v>
      </c>
      <c r="D61" s="7" t="s">
        <v>255</v>
      </c>
      <c r="E61" s="6" t="s">
        <v>348</v>
      </c>
      <c r="F61" s="56"/>
      <c r="G61" s="56" t="s">
        <v>78</v>
      </c>
      <c r="H61" s="7"/>
    </row>
    <row r="62" spans="1:8" x14ac:dyDescent="0.25">
      <c r="A62" s="6">
        <v>40</v>
      </c>
      <c r="B62" s="7" t="s">
        <v>161</v>
      </c>
      <c r="C62" s="7" t="s">
        <v>65</v>
      </c>
      <c r="D62" s="7" t="s">
        <v>79</v>
      </c>
      <c r="E62" s="6" t="s">
        <v>348</v>
      </c>
      <c r="F62" s="6"/>
      <c r="G62" s="56" t="s">
        <v>78</v>
      </c>
      <c r="H62" s="7"/>
    </row>
    <row r="64" spans="1:8" x14ac:dyDescent="0.25">
      <c r="B64" s="2" t="s">
        <v>187</v>
      </c>
      <c r="D64" s="10"/>
    </row>
    <row r="65" spans="2:4" x14ac:dyDescent="0.25">
      <c r="B65" s="2" t="s">
        <v>188</v>
      </c>
      <c r="D65" s="10"/>
    </row>
    <row r="66" spans="2:4" x14ac:dyDescent="0.25">
      <c r="B66" s="2" t="s">
        <v>189</v>
      </c>
      <c r="D66" s="10"/>
    </row>
    <row r="67" spans="2:4" x14ac:dyDescent="0.25">
      <c r="B67" s="2" t="s">
        <v>358</v>
      </c>
      <c r="D67" s="10"/>
    </row>
    <row r="68" spans="2:4" x14ac:dyDescent="0.25">
      <c r="D68" s="10"/>
    </row>
    <row r="69" spans="2:4" x14ac:dyDescent="0.25">
      <c r="B69" s="2" t="s">
        <v>29</v>
      </c>
      <c r="C69" s="8" t="s">
        <v>42</v>
      </c>
      <c r="D69" s="10"/>
    </row>
    <row r="70" spans="2:4" x14ac:dyDescent="0.25">
      <c r="B70" s="2" t="s">
        <v>30</v>
      </c>
      <c r="C70" s="8" t="s">
        <v>43</v>
      </c>
      <c r="D70" s="10"/>
    </row>
    <row r="71" spans="2:4" x14ac:dyDescent="0.25">
      <c r="D71" s="10"/>
    </row>
    <row r="72" spans="2:4" x14ac:dyDescent="0.25">
      <c r="D72" s="10"/>
    </row>
    <row r="73" spans="2:4" x14ac:dyDescent="0.25">
      <c r="D73" s="10"/>
    </row>
    <row r="74" spans="2:4" x14ac:dyDescent="0.25">
      <c r="D74" s="10"/>
    </row>
    <row r="75" spans="2:4" x14ac:dyDescent="0.25">
      <c r="D75" s="10"/>
    </row>
    <row r="76" spans="2:4" x14ac:dyDescent="0.25">
      <c r="D76" s="10"/>
    </row>
    <row r="77" spans="2:4" x14ac:dyDescent="0.25">
      <c r="D77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Q130"/>
  <sheetViews>
    <sheetView zoomScale="90" zoomScaleNormal="90" workbookViewId="0">
      <selection sqref="A1:B20"/>
    </sheetView>
  </sheetViews>
  <sheetFormatPr defaultRowHeight="13.2" x14ac:dyDescent="0.25"/>
  <cols>
    <col min="1" max="1" width="8.33203125" style="1" customWidth="1"/>
    <col min="2" max="2" width="20" style="1" customWidth="1"/>
    <col min="3" max="3" width="22.77734375" style="1" customWidth="1"/>
    <col min="4" max="4" width="11.44140625" style="1" customWidth="1"/>
    <col min="5" max="5" width="8" style="1" customWidth="1"/>
    <col min="6" max="6" width="10.6640625" style="1" customWidth="1"/>
    <col min="7" max="7" width="9.33203125" style="1" customWidth="1"/>
    <col min="8" max="8" width="8.44140625" style="3" customWidth="1"/>
    <col min="9" max="25" width="8.88671875" style="3"/>
    <col min="26" max="26" width="8.88671875" style="1"/>
    <col min="27" max="27" width="8.88671875" style="8"/>
    <col min="28" max="28" width="14.5546875" style="8" customWidth="1"/>
    <col min="29" max="29" width="46.33203125" style="8" customWidth="1"/>
    <col min="30" max="16384" width="8.88671875" style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4" spans="1:1" x14ac:dyDescent="0.25">
      <c r="A4" s="1" t="s">
        <v>31</v>
      </c>
    </row>
    <row r="5" spans="1:1" x14ac:dyDescent="0.25">
      <c r="A5" s="1" t="s">
        <v>32</v>
      </c>
    </row>
    <row r="7" spans="1:1" x14ac:dyDescent="0.25">
      <c r="A7" s="1" t="s">
        <v>139</v>
      </c>
    </row>
    <row r="8" spans="1:1" x14ac:dyDescent="0.25">
      <c r="A8" s="1" t="s">
        <v>294</v>
      </c>
    </row>
    <row r="10" spans="1:1" x14ac:dyDescent="0.25">
      <c r="A10" s="1" t="s">
        <v>293</v>
      </c>
    </row>
    <row r="11" spans="1:1" x14ac:dyDescent="0.25">
      <c r="A11" s="1" t="s">
        <v>142</v>
      </c>
    </row>
    <row r="13" spans="1:1" x14ac:dyDescent="0.25">
      <c r="A13" s="1" t="s">
        <v>295</v>
      </c>
    </row>
    <row r="14" spans="1:1" x14ac:dyDescent="0.25">
      <c r="A14" s="1" t="s">
        <v>296</v>
      </c>
    </row>
    <row r="15" spans="1:1" x14ac:dyDescent="0.25">
      <c r="A15" s="1" t="s">
        <v>297</v>
      </c>
    </row>
    <row r="16" spans="1:1" x14ac:dyDescent="0.25">
      <c r="A16" s="1" t="s">
        <v>298</v>
      </c>
    </row>
    <row r="18" spans="1:303" x14ac:dyDescent="0.25">
      <c r="A18" s="1" t="s">
        <v>299</v>
      </c>
    </row>
    <row r="20" spans="1:303" x14ac:dyDescent="0.25">
      <c r="A20" s="1" t="s">
        <v>147</v>
      </c>
    </row>
    <row r="21" spans="1:303" ht="13.8" thickBot="1" x14ac:dyDescent="0.3"/>
    <row r="22" spans="1:303" ht="40.200000000000003" thickBot="1" x14ac:dyDescent="0.3">
      <c r="A22" s="38" t="s">
        <v>33</v>
      </c>
      <c r="B22" s="39" t="s">
        <v>6</v>
      </c>
      <c r="C22" s="39" t="s">
        <v>148</v>
      </c>
      <c r="D22" s="39" t="s">
        <v>149</v>
      </c>
      <c r="E22" s="39" t="s">
        <v>151</v>
      </c>
      <c r="F22" s="39" t="s">
        <v>300</v>
      </c>
      <c r="G22" s="5"/>
      <c r="H22" s="5"/>
      <c r="I22" s="25"/>
      <c r="J22" s="25"/>
      <c r="K22" s="25" t="s">
        <v>359</v>
      </c>
      <c r="L22" s="25"/>
      <c r="M22" s="25"/>
      <c r="N22" s="25"/>
      <c r="O22" s="25" t="s">
        <v>360</v>
      </c>
      <c r="P22" s="25"/>
      <c r="Q22" s="25"/>
      <c r="R22" s="3" t="s">
        <v>361</v>
      </c>
      <c r="W22" s="3" t="s">
        <v>362</v>
      </c>
      <c r="X22" s="3" t="s">
        <v>363</v>
      </c>
      <c r="Y22" s="3" t="s">
        <v>364</v>
      </c>
      <c r="AA22" s="9" t="s">
        <v>368</v>
      </c>
      <c r="AB22" s="9" t="s">
        <v>369</v>
      </c>
      <c r="AC22" s="9" t="s">
        <v>368</v>
      </c>
    </row>
    <row r="23" spans="1:303" x14ac:dyDescent="0.25">
      <c r="A23" s="18">
        <v>1</v>
      </c>
      <c r="B23" s="19" t="s">
        <v>9</v>
      </c>
      <c r="C23" s="19" t="s">
        <v>165</v>
      </c>
      <c r="D23" s="20">
        <v>105</v>
      </c>
      <c r="E23" s="20" t="s">
        <v>78</v>
      </c>
      <c r="F23" s="21">
        <v>4.4143518518518519E-2</v>
      </c>
      <c r="G23" s="25"/>
      <c r="H23" s="26">
        <v>3.7962962962962963E-3</v>
      </c>
      <c r="I23" s="26">
        <v>6.7245370370370367E-3</v>
      </c>
      <c r="J23" s="26">
        <v>1.1226851851851854E-2</v>
      </c>
      <c r="K23" s="26">
        <v>1.5763888888888886E-2</v>
      </c>
      <c r="L23" s="26">
        <v>1.6261574074074074E-2</v>
      </c>
      <c r="M23" s="26">
        <v>1.7013888888888887E-2</v>
      </c>
      <c r="N23" s="26">
        <v>1.9768518518518515E-2</v>
      </c>
      <c r="O23" s="26">
        <v>2.2569444444444444E-2</v>
      </c>
      <c r="P23" s="26">
        <v>2.4675925925925924E-2</v>
      </c>
      <c r="Q23" s="26">
        <v>2.6770833333333331E-2</v>
      </c>
      <c r="R23" s="10">
        <v>2.8101851851851854E-2</v>
      </c>
      <c r="S23" s="10">
        <v>3.0902777777777779E-2</v>
      </c>
      <c r="T23" s="10">
        <v>3.2812500000000001E-2</v>
      </c>
      <c r="U23" s="10">
        <v>3.6122685185185181E-2</v>
      </c>
      <c r="V23" s="10">
        <v>3.7615740740740741E-2</v>
      </c>
      <c r="W23" s="10">
        <v>4.1319444444444443E-2</v>
      </c>
      <c r="X23" s="10">
        <v>4.3541666666666666E-2</v>
      </c>
      <c r="Y23" s="55">
        <v>4.4143518518518519E-2</v>
      </c>
      <c r="Z23" s="65"/>
      <c r="AA23" s="8" t="s">
        <v>370</v>
      </c>
      <c r="AB23" s="8">
        <v>8.8650000000000002</v>
      </c>
      <c r="AC23" s="8" t="s">
        <v>410</v>
      </c>
    </row>
    <row r="24" spans="1:303" x14ac:dyDescent="0.25">
      <c r="A24" s="23"/>
      <c r="B24" s="24"/>
      <c r="C24" s="24" t="s">
        <v>157</v>
      </c>
      <c r="D24" s="25">
        <v>205</v>
      </c>
      <c r="E24" s="25" t="s">
        <v>78</v>
      </c>
      <c r="F24" s="26">
        <v>4.1851851851851855E-2</v>
      </c>
      <c r="G24" s="25"/>
      <c r="H24" s="26">
        <v>4.762731481481481E-2</v>
      </c>
      <c r="I24" s="26">
        <v>5.0092592592592598E-2</v>
      </c>
      <c r="J24" s="26">
        <v>5.5266203703703699E-2</v>
      </c>
      <c r="K24" s="26">
        <v>5.8298611111111114E-2</v>
      </c>
      <c r="L24" s="26">
        <v>5.9259259259259262E-2</v>
      </c>
      <c r="M24" s="26">
        <v>6.0011574074074071E-2</v>
      </c>
      <c r="N24" s="26">
        <v>6.2094907407407411E-2</v>
      </c>
      <c r="O24" s="26">
        <v>6.6006944444444438E-2</v>
      </c>
      <c r="P24" s="26">
        <v>6.7187499999999997E-2</v>
      </c>
      <c r="Q24" s="26">
        <v>6.8402777777777771E-2</v>
      </c>
      <c r="R24" s="10">
        <v>7.1238425925925927E-2</v>
      </c>
      <c r="S24" s="10">
        <v>7.2743055555555561E-2</v>
      </c>
      <c r="T24" s="10">
        <v>7.586805555555555E-2</v>
      </c>
      <c r="U24" s="10">
        <v>7.7430555555555558E-2</v>
      </c>
      <c r="V24" s="10">
        <v>7.9791666666666664E-2</v>
      </c>
      <c r="W24" s="10">
        <v>8.396990740740741E-2</v>
      </c>
      <c r="X24" s="10">
        <v>8.548611111111111E-2</v>
      </c>
      <c r="Y24" s="55">
        <v>8.5995370370370375E-2</v>
      </c>
      <c r="AA24" s="8" t="s">
        <v>371</v>
      </c>
      <c r="AB24" s="8" t="s">
        <v>378</v>
      </c>
      <c r="AC24" s="8" t="s">
        <v>411</v>
      </c>
    </row>
    <row r="25" spans="1:303" x14ac:dyDescent="0.25">
      <c r="A25" s="23"/>
      <c r="B25" s="24"/>
      <c r="C25" s="24" t="s">
        <v>154</v>
      </c>
      <c r="D25" s="25">
        <v>305</v>
      </c>
      <c r="E25" s="25" t="s">
        <v>78</v>
      </c>
      <c r="F25" s="26">
        <v>4.2222222222222223E-2</v>
      </c>
      <c r="G25" s="25"/>
      <c r="H25" s="26">
        <v>8.9062500000000003E-2</v>
      </c>
      <c r="I25" s="26">
        <v>9.1724537037037035E-2</v>
      </c>
      <c r="J25" s="26">
        <v>9.6990740740740752E-2</v>
      </c>
      <c r="K25" s="26">
        <v>9.9999999999999992E-2</v>
      </c>
      <c r="L25" s="26">
        <v>0.10144675925925926</v>
      </c>
      <c r="M25" s="26">
        <v>0.1027199074074074</v>
      </c>
      <c r="N25" s="26">
        <v>0.10347222222222223</v>
      </c>
      <c r="O25" s="26">
        <v>0.10717592592592594</v>
      </c>
      <c r="P25" s="26">
        <v>0.10844907407407407</v>
      </c>
      <c r="Q25" s="26">
        <v>0.11128472222222223</v>
      </c>
      <c r="R25" s="10">
        <v>0.11244212962962963</v>
      </c>
      <c r="S25" s="10">
        <v>0.11412037037037037</v>
      </c>
      <c r="T25" s="10">
        <v>0.11712962962962963</v>
      </c>
      <c r="U25" s="10">
        <v>0.1189236111111111</v>
      </c>
      <c r="V25" s="10">
        <v>0.12268518518518519</v>
      </c>
      <c r="W25" s="10">
        <v>0.12592592592592591</v>
      </c>
      <c r="X25" s="10">
        <v>0.12766203703703705</v>
      </c>
      <c r="Y25" s="55">
        <v>0.12821759259259261</v>
      </c>
      <c r="AA25" s="8" t="s">
        <v>372</v>
      </c>
      <c r="AB25" s="8" t="s">
        <v>379</v>
      </c>
      <c r="AC25" s="8" t="s">
        <v>412</v>
      </c>
    </row>
    <row r="26" spans="1:303" x14ac:dyDescent="0.25">
      <c r="A26" s="23"/>
      <c r="B26" s="24"/>
      <c r="C26" s="24" t="s">
        <v>56</v>
      </c>
      <c r="D26" s="25">
        <v>405</v>
      </c>
      <c r="E26" s="25" t="s">
        <v>78</v>
      </c>
      <c r="F26" s="26">
        <v>3.7499999999999999E-2</v>
      </c>
      <c r="G26" s="25"/>
      <c r="H26" s="26">
        <v>0.13188657407407409</v>
      </c>
      <c r="I26" s="26">
        <v>0.13354166666666667</v>
      </c>
      <c r="J26" s="26">
        <v>0.13680555555555554</v>
      </c>
      <c r="K26" s="26">
        <v>0.14039351851851853</v>
      </c>
      <c r="L26" s="26">
        <v>0.14131944444444444</v>
      </c>
      <c r="M26" s="26">
        <v>0.14270833333333333</v>
      </c>
      <c r="N26" s="26">
        <v>0.14451388888888889</v>
      </c>
      <c r="O26" s="26">
        <v>0.14656250000000001</v>
      </c>
      <c r="P26" s="26">
        <v>0.14774305555555556</v>
      </c>
      <c r="Q26" s="26">
        <v>0.14936342592592591</v>
      </c>
      <c r="R26" s="10">
        <v>0.15202546296296296</v>
      </c>
      <c r="S26" s="10">
        <v>0.15422453703703703</v>
      </c>
      <c r="T26" s="10">
        <v>0.15700231481481483</v>
      </c>
      <c r="U26" s="55">
        <v>0.15925925925925927</v>
      </c>
      <c r="V26" s="10">
        <v>0.16018518518518518</v>
      </c>
      <c r="W26" s="10">
        <v>0.16371527777777778</v>
      </c>
      <c r="X26" s="10">
        <v>0.16520833333333332</v>
      </c>
      <c r="Y26" s="55">
        <v>0.16571759259259261</v>
      </c>
      <c r="AA26" s="8" t="s">
        <v>373</v>
      </c>
      <c r="AB26" s="8" t="s">
        <v>380</v>
      </c>
      <c r="AC26" s="8" t="s">
        <v>413</v>
      </c>
      <c r="AL26" s="61"/>
      <c r="DD26" s="62"/>
      <c r="DT26" s="61"/>
      <c r="EL26" s="61"/>
      <c r="ES26" s="61"/>
      <c r="FQ26" s="62"/>
      <c r="FW26" s="17"/>
      <c r="GM26" s="62"/>
      <c r="GO26" s="62"/>
      <c r="HA26" s="61"/>
      <c r="HG26" s="62"/>
      <c r="HP26" s="61"/>
      <c r="HQ26" s="17"/>
      <c r="HR26" s="61"/>
      <c r="HS26" s="62"/>
      <c r="HT26" s="61"/>
      <c r="HX26" s="61"/>
      <c r="HZ26" s="61"/>
      <c r="IS26" s="61"/>
      <c r="IV26" s="62"/>
      <c r="JL26" s="62"/>
      <c r="JM26" s="63"/>
      <c r="JP26" s="61"/>
      <c r="JV26" s="61"/>
      <c r="JZ26" s="61"/>
      <c r="KD26" s="61"/>
      <c r="KL26" s="62"/>
      <c r="KQ26" s="64"/>
    </row>
    <row r="27" spans="1:303" x14ac:dyDescent="0.25">
      <c r="A27" s="23"/>
      <c r="B27" s="24"/>
      <c r="C27" s="24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</row>
    <row r="28" spans="1:303" x14ac:dyDescent="0.25">
      <c r="G28" s="25"/>
      <c r="H28" s="26">
        <v>3.7962962962962963E-3</v>
      </c>
      <c r="I28" s="26">
        <f>I23-H23</f>
        <v>2.9282407407407404E-3</v>
      </c>
      <c r="J28" s="26">
        <f t="shared" ref="J28:Y28" si="0">J23-I23</f>
        <v>4.5023148148148175E-3</v>
      </c>
      <c r="K28" s="26">
        <f t="shared" si="0"/>
        <v>4.5370370370370321E-3</v>
      </c>
      <c r="L28" s="26">
        <f t="shared" si="0"/>
        <v>4.9768518518518781E-4</v>
      </c>
      <c r="M28" s="26">
        <f t="shared" si="0"/>
        <v>7.523148148148133E-4</v>
      </c>
      <c r="N28" s="26">
        <f t="shared" si="0"/>
        <v>2.7546296296296277E-3</v>
      </c>
      <c r="O28" s="26">
        <f t="shared" si="0"/>
        <v>2.8009259259259289E-3</v>
      </c>
      <c r="P28" s="26">
        <f t="shared" si="0"/>
        <v>2.10648148148148E-3</v>
      </c>
      <c r="Q28" s="26">
        <f t="shared" si="0"/>
        <v>2.0949074074074064E-3</v>
      </c>
      <c r="R28" s="26">
        <f t="shared" si="0"/>
        <v>1.331018518518523E-3</v>
      </c>
      <c r="S28" s="26">
        <f t="shared" si="0"/>
        <v>2.8009259259259255E-3</v>
      </c>
      <c r="T28" s="26">
        <f t="shared" si="0"/>
        <v>1.9097222222222224E-3</v>
      </c>
      <c r="U28" s="26">
        <f t="shared" si="0"/>
        <v>3.3101851851851799E-3</v>
      </c>
      <c r="V28" s="26">
        <f t="shared" si="0"/>
        <v>1.49305555555556E-3</v>
      </c>
      <c r="W28" s="26">
        <f t="shared" si="0"/>
        <v>3.7037037037037021E-3</v>
      </c>
      <c r="X28" s="26">
        <f t="shared" si="0"/>
        <v>2.2222222222222227E-3</v>
      </c>
      <c r="Y28" s="26">
        <f t="shared" si="0"/>
        <v>6.0185185185185341E-4</v>
      </c>
    </row>
    <row r="29" spans="1:303" x14ac:dyDescent="0.25">
      <c r="G29" s="25"/>
      <c r="H29" s="26">
        <f>H24-Y23</f>
        <v>3.4837962962962904E-3</v>
      </c>
      <c r="I29" s="26">
        <f t="shared" ref="I29:P29" si="1">I24-H24</f>
        <v>2.4652777777777884E-3</v>
      </c>
      <c r="J29" s="26">
        <f t="shared" si="1"/>
        <v>5.1736111111111011E-3</v>
      </c>
      <c r="K29" s="26">
        <f t="shared" si="1"/>
        <v>3.0324074074074142E-3</v>
      </c>
      <c r="L29" s="26">
        <f t="shared" si="1"/>
        <v>9.6064814814814797E-4</v>
      </c>
      <c r="M29" s="26">
        <f t="shared" si="1"/>
        <v>7.5231481481480983E-4</v>
      </c>
      <c r="N29" s="26">
        <f t="shared" si="1"/>
        <v>2.0833333333333398E-3</v>
      </c>
      <c r="O29" s="26">
        <f t="shared" si="1"/>
        <v>3.9120370370370264E-3</v>
      </c>
      <c r="P29" s="26">
        <f t="shared" si="1"/>
        <v>1.1805555555555597E-3</v>
      </c>
      <c r="Q29" s="26">
        <f t="shared" ref="Q29:Y29" si="2">Q24-P24</f>
        <v>1.2152777777777735E-3</v>
      </c>
      <c r="R29" s="26">
        <f t="shared" si="2"/>
        <v>2.8356481481481566E-3</v>
      </c>
      <c r="S29" s="26">
        <f t="shared" si="2"/>
        <v>1.5046296296296335E-3</v>
      </c>
      <c r="T29" s="26">
        <f t="shared" si="2"/>
        <v>3.1249999999999889E-3</v>
      </c>
      <c r="U29" s="26">
        <f t="shared" si="2"/>
        <v>1.5625000000000083E-3</v>
      </c>
      <c r="V29" s="26">
        <f t="shared" si="2"/>
        <v>2.3611111111111055E-3</v>
      </c>
      <c r="W29" s="26">
        <f t="shared" si="2"/>
        <v>4.1782407407407463E-3</v>
      </c>
      <c r="X29" s="26">
        <f t="shared" si="2"/>
        <v>1.5162037037037002E-3</v>
      </c>
      <c r="Y29" s="26">
        <f t="shared" si="2"/>
        <v>5.0925925925926485E-4</v>
      </c>
    </row>
    <row r="30" spans="1:303" x14ac:dyDescent="0.25">
      <c r="G30" s="25"/>
      <c r="H30" s="26">
        <f t="shared" ref="H30:H31" si="3">H25-Y24</f>
        <v>3.067129629629628E-3</v>
      </c>
      <c r="I30" s="26">
        <f t="shared" ref="I30:P30" si="4">I25-H25</f>
        <v>2.6620370370370322E-3</v>
      </c>
      <c r="J30" s="26">
        <f t="shared" si="4"/>
        <v>5.2662037037037174E-3</v>
      </c>
      <c r="K30" s="26">
        <f t="shared" si="4"/>
        <v>3.0092592592592393E-3</v>
      </c>
      <c r="L30" s="26">
        <f t="shared" si="4"/>
        <v>1.4467592592592726E-3</v>
      </c>
      <c r="M30" s="26">
        <f t="shared" si="4"/>
        <v>1.2731481481481344E-3</v>
      </c>
      <c r="N30" s="26">
        <f t="shared" si="4"/>
        <v>7.5231481481483065E-4</v>
      </c>
      <c r="O30" s="26">
        <f t="shared" si="4"/>
        <v>3.703703703703709E-3</v>
      </c>
      <c r="P30" s="26">
        <f t="shared" si="4"/>
        <v>1.2731481481481344E-3</v>
      </c>
      <c r="Q30" s="26">
        <f t="shared" ref="Q30:Y30" si="5">Q25-P25</f>
        <v>2.8356481481481566E-3</v>
      </c>
      <c r="R30" s="26">
        <f t="shared" si="5"/>
        <v>1.1574074074073987E-3</v>
      </c>
      <c r="S30" s="26">
        <f t="shared" si="5"/>
        <v>1.678240740740744E-3</v>
      </c>
      <c r="T30" s="26">
        <f t="shared" si="5"/>
        <v>3.0092592592592532E-3</v>
      </c>
      <c r="U30" s="26">
        <f t="shared" si="5"/>
        <v>1.7939814814814797E-3</v>
      </c>
      <c r="V30" s="26">
        <f t="shared" si="5"/>
        <v>3.7615740740740838E-3</v>
      </c>
      <c r="W30" s="26">
        <f t="shared" si="5"/>
        <v>3.2407407407407246E-3</v>
      </c>
      <c r="X30" s="26">
        <f t="shared" si="5"/>
        <v>1.7361111111111327E-3</v>
      </c>
      <c r="Y30" s="26">
        <f t="shared" si="5"/>
        <v>5.5555555555555913E-4</v>
      </c>
    </row>
    <row r="31" spans="1:303" x14ac:dyDescent="0.25">
      <c r="G31" s="25"/>
      <c r="H31" s="26">
        <f t="shared" si="3"/>
        <v>3.6689814814814814E-3</v>
      </c>
      <c r="I31" s="26">
        <f t="shared" ref="I31:P31" si="6">I26-H26</f>
        <v>1.655092592592583E-3</v>
      </c>
      <c r="J31" s="26">
        <f t="shared" si="6"/>
        <v>3.2638888888888717E-3</v>
      </c>
      <c r="K31" s="26">
        <f t="shared" si="6"/>
        <v>3.5879629629629872E-3</v>
      </c>
      <c r="L31" s="26">
        <f t="shared" si="6"/>
        <v>9.2592592592591338E-4</v>
      </c>
      <c r="M31" s="26">
        <f t="shared" si="6"/>
        <v>1.388888888888884E-3</v>
      </c>
      <c r="N31" s="26">
        <f t="shared" si="6"/>
        <v>1.8055555555555602E-3</v>
      </c>
      <c r="O31" s="26">
        <f t="shared" si="6"/>
        <v>2.048611111111126E-3</v>
      </c>
      <c r="P31" s="26">
        <f t="shared" si="6"/>
        <v>1.1805555555555458E-3</v>
      </c>
      <c r="Q31" s="26">
        <f t="shared" ref="Q31:Y31" si="7">Q26-P26</f>
        <v>1.6203703703703554E-3</v>
      </c>
      <c r="R31" s="26">
        <f t="shared" si="7"/>
        <v>2.6620370370370461E-3</v>
      </c>
      <c r="S31" s="26">
        <f t="shared" si="7"/>
        <v>2.1990740740740755E-3</v>
      </c>
      <c r="T31" s="26">
        <f t="shared" si="7"/>
        <v>2.7777777777777957E-3</v>
      </c>
      <c r="U31" s="26">
        <f t="shared" si="7"/>
        <v>2.2569444444444364E-3</v>
      </c>
      <c r="V31" s="26">
        <f t="shared" si="7"/>
        <v>9.2592592592591338E-4</v>
      </c>
      <c r="W31" s="26">
        <f t="shared" si="7"/>
        <v>3.5300925925925986E-3</v>
      </c>
      <c r="X31" s="26">
        <f t="shared" si="7"/>
        <v>1.4930555555555391E-3</v>
      </c>
      <c r="Y31" s="26">
        <f t="shared" si="7"/>
        <v>5.0925925925929261E-4</v>
      </c>
    </row>
    <row r="32" spans="1:303" x14ac:dyDescent="0.25"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</row>
    <row r="33" spans="1:29" x14ac:dyDescent="0.25">
      <c r="A33" s="23">
        <v>2</v>
      </c>
      <c r="B33" s="24" t="s">
        <v>40</v>
      </c>
      <c r="C33" s="24" t="s">
        <v>47</v>
      </c>
      <c r="D33" s="25">
        <v>101</v>
      </c>
      <c r="E33" s="25" t="s">
        <v>78</v>
      </c>
      <c r="F33" s="26">
        <v>4.5856481481481477E-2</v>
      </c>
      <c r="G33" s="25"/>
      <c r="H33" s="26">
        <v>3.8888888888888883E-3</v>
      </c>
      <c r="I33" s="26">
        <v>6.8171296296296287E-3</v>
      </c>
      <c r="J33" s="26">
        <v>1.064814814814815E-2</v>
      </c>
      <c r="K33" s="26">
        <v>1.4525462962962964E-2</v>
      </c>
      <c r="L33" s="26">
        <v>1.6145833333333335E-2</v>
      </c>
      <c r="M33" s="26">
        <v>1.7962962962962962E-2</v>
      </c>
      <c r="N33" s="26">
        <v>1.9710648148148147E-2</v>
      </c>
      <c r="O33" s="26">
        <v>2.1875000000000002E-2</v>
      </c>
      <c r="P33" s="26">
        <v>2.3842592592592596E-2</v>
      </c>
      <c r="Q33" s="26">
        <v>2.5405092592592594E-2</v>
      </c>
      <c r="R33" s="10">
        <v>2.7662037037037041E-2</v>
      </c>
      <c r="S33" s="10">
        <v>2.9513888888888892E-2</v>
      </c>
      <c r="T33" s="10">
        <v>3.27662037037037E-2</v>
      </c>
      <c r="U33" s="10">
        <v>3.4606481481481481E-2</v>
      </c>
      <c r="V33" s="10">
        <v>4.027777777777778E-2</v>
      </c>
      <c r="W33" s="10">
        <v>4.3483796296296291E-2</v>
      </c>
      <c r="X33" s="10">
        <v>4.5312499999999999E-2</v>
      </c>
      <c r="Y33" s="26">
        <v>4.5856481481481477E-2</v>
      </c>
      <c r="AA33" s="8" t="s">
        <v>374</v>
      </c>
      <c r="AB33" s="8">
        <v>9.1950000000000003</v>
      </c>
      <c r="AC33" s="8" t="s">
        <v>414</v>
      </c>
    </row>
    <row r="34" spans="1:29" x14ac:dyDescent="0.25">
      <c r="A34" s="23"/>
      <c r="B34" s="24"/>
      <c r="C34" s="24" t="s">
        <v>159</v>
      </c>
      <c r="D34" s="25">
        <v>201</v>
      </c>
      <c r="E34" s="25" t="s">
        <v>78</v>
      </c>
      <c r="F34" s="26">
        <v>4.1979166666666672E-2</v>
      </c>
      <c r="G34" s="25"/>
      <c r="H34" s="26">
        <v>4.9189814814814818E-2</v>
      </c>
      <c r="I34" s="26">
        <v>5.2673611111111109E-2</v>
      </c>
      <c r="J34" s="26">
        <v>5.7546296296296297E-2</v>
      </c>
      <c r="K34" s="26">
        <v>6.0868055555555557E-2</v>
      </c>
      <c r="L34" s="26">
        <v>6.128472222222222E-2</v>
      </c>
      <c r="M34" s="26">
        <v>6.2708333333333324E-2</v>
      </c>
      <c r="N34" s="26">
        <v>6.5833333333333341E-2</v>
      </c>
      <c r="O34" s="26">
        <v>6.8206018518518527E-2</v>
      </c>
      <c r="P34" s="26">
        <v>7.0289351851851853E-2</v>
      </c>
      <c r="Q34" s="26">
        <v>7.1990740740740744E-2</v>
      </c>
      <c r="R34" s="10">
        <v>7.3206018518518517E-2</v>
      </c>
      <c r="S34" s="10">
        <v>7.4884259259259262E-2</v>
      </c>
      <c r="T34" s="10">
        <v>7.7719907407407404E-2</v>
      </c>
      <c r="U34" s="10">
        <v>8.0648148148148149E-2</v>
      </c>
      <c r="V34" s="10">
        <v>8.2118055555555555E-2</v>
      </c>
      <c r="W34" s="10">
        <v>8.5590277777777779E-2</v>
      </c>
      <c r="X34" s="10">
        <v>8.7337962962962964E-2</v>
      </c>
      <c r="Y34" s="26">
        <v>8.7835648148148149E-2</v>
      </c>
      <c r="AA34" s="8" t="s">
        <v>375</v>
      </c>
      <c r="AB34" s="8" t="s">
        <v>407</v>
      </c>
      <c r="AC34" s="8" t="s">
        <v>415</v>
      </c>
    </row>
    <row r="35" spans="1:29" x14ac:dyDescent="0.25">
      <c r="A35" s="23"/>
      <c r="B35" s="24"/>
      <c r="C35" s="24" t="s">
        <v>153</v>
      </c>
      <c r="D35" s="25">
        <v>301</v>
      </c>
      <c r="E35" s="25" t="s">
        <v>78</v>
      </c>
      <c r="F35" s="26">
        <v>4.1574074074074076E-2</v>
      </c>
      <c r="G35" s="25"/>
      <c r="H35" s="26">
        <v>9.1423611111111122E-2</v>
      </c>
      <c r="I35" s="26">
        <v>9.4178240740740729E-2</v>
      </c>
      <c r="J35" s="26">
        <v>9.8067129629629643E-2</v>
      </c>
      <c r="K35" s="26">
        <v>0.10107638888888888</v>
      </c>
      <c r="L35" s="26">
        <v>0.10208333333333335</v>
      </c>
      <c r="M35" s="26">
        <v>0.10298611111111111</v>
      </c>
      <c r="N35" s="26">
        <v>0.10405092592592592</v>
      </c>
      <c r="O35" s="26">
        <v>0.10820601851851852</v>
      </c>
      <c r="P35" s="26">
        <v>0.10939814814814815</v>
      </c>
      <c r="Q35" s="26">
        <v>0.11082175925925926</v>
      </c>
      <c r="R35" s="10">
        <v>0.11405092592592592</v>
      </c>
      <c r="S35" s="10">
        <v>0.11674768518518519</v>
      </c>
      <c r="T35" s="55">
        <v>0.1193287037037037</v>
      </c>
      <c r="U35" s="10">
        <v>0.12065972222222222</v>
      </c>
      <c r="V35" s="10">
        <v>0.12359953703703704</v>
      </c>
      <c r="W35" s="10">
        <v>0.12693287037037038</v>
      </c>
      <c r="X35" s="10">
        <v>0.12890046296296295</v>
      </c>
      <c r="Y35" s="26">
        <v>0.12940972222222222</v>
      </c>
      <c r="AA35" s="8" t="s">
        <v>376</v>
      </c>
      <c r="AB35" s="8" t="s">
        <v>408</v>
      </c>
      <c r="AC35" s="8" t="s">
        <v>416</v>
      </c>
    </row>
    <row r="36" spans="1:29" x14ac:dyDescent="0.25">
      <c r="A36" s="23"/>
      <c r="B36" s="24"/>
      <c r="C36" s="24" t="s">
        <v>160</v>
      </c>
      <c r="D36" s="25">
        <v>401</v>
      </c>
      <c r="E36" s="25" t="s">
        <v>78</v>
      </c>
      <c r="F36" s="26">
        <v>3.9166666666666662E-2</v>
      </c>
      <c r="G36" s="25"/>
      <c r="H36" s="26">
        <v>0.13292824074074075</v>
      </c>
      <c r="I36" s="26">
        <v>0.13524305555555555</v>
      </c>
      <c r="J36" s="66">
        <v>0.13836805555555556</v>
      </c>
      <c r="K36" s="26">
        <v>0.14199074074074072</v>
      </c>
      <c r="L36" s="26">
        <v>0.14450231481481482</v>
      </c>
      <c r="M36" s="26">
        <v>0.14554398148148148</v>
      </c>
      <c r="N36" s="26">
        <v>0.14598379629629629</v>
      </c>
      <c r="O36" s="26">
        <v>0.1492361111111111</v>
      </c>
      <c r="P36" s="26">
        <v>0.1507523148148148</v>
      </c>
      <c r="Q36" s="26">
        <v>0.15324074074074073</v>
      </c>
      <c r="R36" s="10">
        <v>0.1544675925925926</v>
      </c>
      <c r="S36" s="10">
        <v>0.15680555555555556</v>
      </c>
      <c r="T36" s="10">
        <v>0.15934027777777779</v>
      </c>
      <c r="U36" s="10">
        <v>0.16155092592592593</v>
      </c>
      <c r="V36" s="10">
        <v>0.16247685185185187</v>
      </c>
      <c r="W36" s="10">
        <v>0.16587962962962963</v>
      </c>
      <c r="X36" s="10">
        <v>0.16796296296296298</v>
      </c>
      <c r="Y36" s="26">
        <v>0.16857638888888887</v>
      </c>
      <c r="AA36" s="8" t="s">
        <v>377</v>
      </c>
      <c r="AB36" s="8" t="s">
        <v>409</v>
      </c>
      <c r="AC36" s="8" t="s">
        <v>417</v>
      </c>
    </row>
    <row r="37" spans="1:29" x14ac:dyDescent="0.25"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</row>
    <row r="38" spans="1:29" x14ac:dyDescent="0.25">
      <c r="G38" s="25"/>
      <c r="H38" s="26">
        <f>H33</f>
        <v>3.8888888888888883E-3</v>
      </c>
      <c r="I38" s="26">
        <f>I33-H33</f>
        <v>2.9282407407407404E-3</v>
      </c>
      <c r="J38" s="26">
        <f t="shared" ref="J38:Y41" si="8">J33-I33</f>
        <v>3.8310185185185209E-3</v>
      </c>
      <c r="K38" s="26">
        <f t="shared" si="8"/>
        <v>3.8773148148148143E-3</v>
      </c>
      <c r="L38" s="26">
        <f t="shared" si="8"/>
        <v>1.620370370370371E-3</v>
      </c>
      <c r="M38" s="26">
        <f t="shared" si="8"/>
        <v>1.8171296296296269E-3</v>
      </c>
      <c r="N38" s="26">
        <f t="shared" si="8"/>
        <v>1.7476851851851855E-3</v>
      </c>
      <c r="O38" s="26">
        <f t="shared" si="8"/>
        <v>2.1643518518518548E-3</v>
      </c>
      <c r="P38" s="26">
        <f t="shared" si="8"/>
        <v>1.9675925925925937E-3</v>
      </c>
      <c r="Q38" s="26">
        <f t="shared" si="8"/>
        <v>1.5624999999999979E-3</v>
      </c>
      <c r="R38" s="26">
        <f t="shared" si="8"/>
        <v>2.2569444444444468E-3</v>
      </c>
      <c r="S38" s="26">
        <f t="shared" si="8"/>
        <v>1.8518518518518511E-3</v>
      </c>
      <c r="T38" s="26">
        <f t="shared" si="8"/>
        <v>3.2523148148148086E-3</v>
      </c>
      <c r="U38" s="26">
        <f t="shared" si="8"/>
        <v>1.840277777777781E-3</v>
      </c>
      <c r="V38" s="26">
        <f t="shared" si="8"/>
        <v>5.6712962962962993E-3</v>
      </c>
      <c r="W38" s="26">
        <f t="shared" si="8"/>
        <v>3.2060185185185108E-3</v>
      </c>
      <c r="X38" s="26">
        <f t="shared" si="8"/>
        <v>1.8287037037037074E-3</v>
      </c>
      <c r="Y38" s="26">
        <f t="shared" si="8"/>
        <v>5.4398148148147862E-4</v>
      </c>
    </row>
    <row r="39" spans="1:29" x14ac:dyDescent="0.25">
      <c r="G39" s="25"/>
      <c r="H39" s="26">
        <f>H34-Y33</f>
        <v>3.3333333333333409E-3</v>
      </c>
      <c r="I39" s="26">
        <f t="shared" ref="I39:X41" si="9">I34-H34</f>
        <v>3.4837962962962904E-3</v>
      </c>
      <c r="J39" s="26">
        <f t="shared" si="9"/>
        <v>4.8726851851851882E-3</v>
      </c>
      <c r="K39" s="26">
        <f t="shared" si="9"/>
        <v>3.3217592592592604E-3</v>
      </c>
      <c r="L39" s="26">
        <f t="shared" si="9"/>
        <v>4.1666666666666241E-4</v>
      </c>
      <c r="M39" s="26">
        <f t="shared" si="9"/>
        <v>1.4236111111111047E-3</v>
      </c>
      <c r="N39" s="26">
        <f t="shared" si="9"/>
        <v>3.1250000000000167E-3</v>
      </c>
      <c r="O39" s="26">
        <f t="shared" si="9"/>
        <v>2.372685185185186E-3</v>
      </c>
      <c r="P39" s="26">
        <f t="shared" si="9"/>
        <v>2.0833333333333259E-3</v>
      </c>
      <c r="Q39" s="26">
        <f t="shared" si="9"/>
        <v>1.7013888888888912E-3</v>
      </c>
      <c r="R39" s="26">
        <f t="shared" si="9"/>
        <v>1.2152777777777735E-3</v>
      </c>
      <c r="S39" s="26">
        <f t="shared" si="9"/>
        <v>1.678240740740744E-3</v>
      </c>
      <c r="T39" s="26">
        <f t="shared" si="9"/>
        <v>2.8356481481481427E-3</v>
      </c>
      <c r="U39" s="26">
        <f t="shared" si="9"/>
        <v>2.9282407407407451E-3</v>
      </c>
      <c r="V39" s="26">
        <f t="shared" si="9"/>
        <v>1.4699074074074059E-3</v>
      </c>
      <c r="W39" s="26">
        <f t="shared" si="9"/>
        <v>3.4722222222222238E-3</v>
      </c>
      <c r="X39" s="26">
        <f t="shared" si="9"/>
        <v>1.7476851851851855E-3</v>
      </c>
      <c r="Y39" s="26">
        <f t="shared" si="8"/>
        <v>4.9768518518518434E-4</v>
      </c>
    </row>
    <row r="40" spans="1:29" x14ac:dyDescent="0.25">
      <c r="A40" s="23"/>
      <c r="B40" s="24"/>
      <c r="C40" s="24"/>
      <c r="D40" s="25"/>
      <c r="E40" s="25"/>
      <c r="F40" s="25"/>
      <c r="G40" s="25"/>
      <c r="H40" s="26">
        <f t="shared" ref="H40:H41" si="10">H35-Y34</f>
        <v>3.5879629629629733E-3</v>
      </c>
      <c r="I40" s="26">
        <f t="shared" si="9"/>
        <v>2.7546296296296069E-3</v>
      </c>
      <c r="J40" s="26">
        <f t="shared" si="8"/>
        <v>3.8888888888889139E-3</v>
      </c>
      <c r="K40" s="26">
        <f t="shared" si="8"/>
        <v>3.0092592592592393E-3</v>
      </c>
      <c r="L40" s="26">
        <f t="shared" si="8"/>
        <v>1.0069444444444631E-3</v>
      </c>
      <c r="M40" s="26">
        <f t="shared" si="8"/>
        <v>9.0277777777776624E-4</v>
      </c>
      <c r="N40" s="26">
        <f t="shared" si="8"/>
        <v>1.0648148148148101E-3</v>
      </c>
      <c r="O40" s="26">
        <f t="shared" si="8"/>
        <v>4.1550925925925991E-3</v>
      </c>
      <c r="P40" s="26">
        <f t="shared" si="8"/>
        <v>1.1921296296296263E-3</v>
      </c>
      <c r="Q40" s="26">
        <f t="shared" si="8"/>
        <v>1.4236111111111116E-3</v>
      </c>
      <c r="R40" s="26">
        <f t="shared" si="8"/>
        <v>3.229166666666658E-3</v>
      </c>
      <c r="S40" s="26">
        <f t="shared" si="8"/>
        <v>2.6967592592592737E-3</v>
      </c>
      <c r="T40" s="26">
        <f>T35-S35</f>
        <v>2.5810185185185103E-3</v>
      </c>
      <c r="U40" s="26">
        <f t="shared" si="8"/>
        <v>1.331018518518523E-3</v>
      </c>
      <c r="V40" s="26">
        <f t="shared" si="8"/>
        <v>2.9398148148148118E-3</v>
      </c>
      <c r="W40" s="26">
        <f t="shared" si="8"/>
        <v>3.3333333333333409E-3</v>
      </c>
      <c r="X40" s="26">
        <f t="shared" si="8"/>
        <v>1.9675925925925764E-3</v>
      </c>
      <c r="Y40" s="26">
        <f t="shared" si="8"/>
        <v>5.0925925925926485E-4</v>
      </c>
    </row>
    <row r="41" spans="1:29" x14ac:dyDescent="0.25">
      <c r="G41" s="25"/>
      <c r="H41" s="26">
        <f t="shared" si="10"/>
        <v>3.5185185185185319E-3</v>
      </c>
      <c r="I41" s="26">
        <f t="shared" si="9"/>
        <v>2.3148148148147973E-3</v>
      </c>
      <c r="J41" s="26">
        <f t="shared" si="8"/>
        <v>3.1250000000000167E-3</v>
      </c>
      <c r="K41" s="26">
        <f t="shared" si="8"/>
        <v>3.6226851851851594E-3</v>
      </c>
      <c r="L41" s="26">
        <f t="shared" si="8"/>
        <v>2.5115740740740966E-3</v>
      </c>
      <c r="M41" s="26">
        <f t="shared" si="8"/>
        <v>1.041666666666663E-3</v>
      </c>
      <c r="N41" s="26">
        <f t="shared" si="8"/>
        <v>4.3981481481480955E-4</v>
      </c>
      <c r="O41" s="26">
        <f t="shared" si="8"/>
        <v>3.2523148148148051E-3</v>
      </c>
      <c r="P41" s="26">
        <f t="shared" si="8"/>
        <v>1.5162037037037002E-3</v>
      </c>
      <c r="Q41" s="26">
        <f t="shared" si="8"/>
        <v>2.4884259259259356E-3</v>
      </c>
      <c r="R41" s="26">
        <f t="shared" si="8"/>
        <v>1.2268518518518678E-3</v>
      </c>
      <c r="S41" s="26">
        <f t="shared" si="8"/>
        <v>2.3379629629629584E-3</v>
      </c>
      <c r="T41" s="26">
        <f t="shared" si="8"/>
        <v>2.5347222222222299E-3</v>
      </c>
      <c r="U41" s="26">
        <f t="shared" si="8"/>
        <v>2.2106481481481421E-3</v>
      </c>
      <c r="V41" s="26">
        <f t="shared" si="8"/>
        <v>9.2592592592594114E-4</v>
      </c>
      <c r="W41" s="26">
        <f t="shared" si="8"/>
        <v>3.4027777777777546E-3</v>
      </c>
      <c r="X41" s="26">
        <f t="shared" si="8"/>
        <v>2.0833333333333537E-3</v>
      </c>
      <c r="Y41" s="26">
        <f t="shared" si="8"/>
        <v>6.1342592592589229E-4</v>
      </c>
    </row>
    <row r="42" spans="1:29" x14ac:dyDescent="0.25">
      <c r="A42" s="24"/>
      <c r="B42" s="24"/>
      <c r="C42" s="24"/>
      <c r="D42" s="24"/>
      <c r="E42" s="24"/>
      <c r="F42" s="24"/>
      <c r="G42" s="25"/>
      <c r="H42" s="26"/>
      <c r="I42" s="10"/>
      <c r="J42" s="10"/>
      <c r="K42" s="10"/>
      <c r="M42" s="10"/>
      <c r="N42" s="10"/>
      <c r="O42" s="10"/>
    </row>
    <row r="43" spans="1:29" x14ac:dyDescent="0.25">
      <c r="A43" s="25">
        <v>3</v>
      </c>
      <c r="B43" s="24" t="s">
        <v>11</v>
      </c>
      <c r="C43" s="24" t="s">
        <v>107</v>
      </c>
      <c r="D43" s="25">
        <v>102</v>
      </c>
      <c r="E43" s="25" t="s">
        <v>78</v>
      </c>
      <c r="F43" s="26">
        <v>4.2349537037037033E-2</v>
      </c>
      <c r="G43" s="25"/>
      <c r="H43" s="26">
        <v>4.2245370370370371E-3</v>
      </c>
      <c r="I43" s="10">
        <v>6.828703703703704E-3</v>
      </c>
      <c r="J43" s="10">
        <v>9.6643518518518511E-3</v>
      </c>
      <c r="K43" s="10">
        <v>1.3842592592592594E-2</v>
      </c>
      <c r="L43" s="10">
        <v>1.4652777777777778E-2</v>
      </c>
      <c r="M43" s="10">
        <v>1.5474537037037038E-2</v>
      </c>
      <c r="N43" s="10">
        <v>1.8287037037037036E-2</v>
      </c>
      <c r="O43" s="10">
        <v>2.1111111111111108E-2</v>
      </c>
      <c r="P43" s="10">
        <v>2.3668981481481485E-2</v>
      </c>
      <c r="Q43" s="10">
        <v>2.5810185185185183E-2</v>
      </c>
      <c r="R43" s="10">
        <v>2.7071759259259257E-2</v>
      </c>
      <c r="S43" s="10">
        <v>2.8703703703703703E-2</v>
      </c>
      <c r="T43" s="10">
        <v>3.1574074074074074E-2</v>
      </c>
      <c r="U43" s="10">
        <v>3.471064814814815E-2</v>
      </c>
      <c r="V43" s="10">
        <v>3.6423611111111115E-2</v>
      </c>
      <c r="W43" s="10">
        <v>3.9988425925925927E-2</v>
      </c>
      <c r="X43" s="10">
        <v>4.1736111111111113E-2</v>
      </c>
      <c r="Y43" s="55">
        <v>4.2349537037037033E-2</v>
      </c>
      <c r="AA43" s="8" t="s">
        <v>381</v>
      </c>
      <c r="AB43" s="70" t="s">
        <v>446</v>
      </c>
      <c r="AC43" s="8" t="s">
        <v>418</v>
      </c>
    </row>
    <row r="44" spans="1:29" x14ac:dyDescent="0.25">
      <c r="A44" s="25"/>
      <c r="B44" s="24"/>
      <c r="C44" s="24" t="s">
        <v>180</v>
      </c>
      <c r="D44" s="25">
        <v>202</v>
      </c>
      <c r="E44" s="25" t="s">
        <v>78</v>
      </c>
      <c r="F44" s="26">
        <v>4.3518518518518519E-2</v>
      </c>
      <c r="G44" s="25"/>
      <c r="H44" s="26">
        <v>4.7511574074074074E-2</v>
      </c>
      <c r="I44" s="10">
        <v>5.0405092592592592E-2</v>
      </c>
      <c r="J44" s="10">
        <v>5.4456018518518522E-2</v>
      </c>
      <c r="K44" s="10">
        <v>5.8391203703703702E-2</v>
      </c>
      <c r="L44" s="10">
        <v>5.9317129629629629E-2</v>
      </c>
      <c r="M44" s="10">
        <v>6.0358796296296292E-2</v>
      </c>
      <c r="N44" s="10">
        <v>6.2152777777777779E-2</v>
      </c>
      <c r="O44" s="10">
        <v>6.5949074074074077E-2</v>
      </c>
      <c r="P44" s="10">
        <v>6.7256944444444453E-2</v>
      </c>
      <c r="Q44" s="10">
        <v>6.851851851851852E-2</v>
      </c>
      <c r="R44" s="10">
        <v>7.1458333333333332E-2</v>
      </c>
      <c r="S44" s="10">
        <v>7.363425925925926E-2</v>
      </c>
      <c r="T44" s="10">
        <v>7.5520833333333329E-2</v>
      </c>
      <c r="U44" s="10">
        <v>7.7430555555555558E-2</v>
      </c>
      <c r="V44" s="10">
        <v>7.9837962962962958E-2</v>
      </c>
      <c r="W44" s="10">
        <v>8.3634259259259255E-2</v>
      </c>
      <c r="X44" s="10">
        <v>8.5335648148148147E-2</v>
      </c>
      <c r="Y44" s="55">
        <v>8.5868055555555545E-2</v>
      </c>
      <c r="AA44" s="8" t="s">
        <v>382</v>
      </c>
      <c r="AB44" s="8" t="s">
        <v>447</v>
      </c>
      <c r="AC44" s="8" t="s">
        <v>419</v>
      </c>
    </row>
    <row r="45" spans="1:29" x14ac:dyDescent="0.25">
      <c r="A45" s="25"/>
      <c r="B45" s="24"/>
      <c r="C45" s="24" t="s">
        <v>155</v>
      </c>
      <c r="D45" s="25">
        <v>302</v>
      </c>
      <c r="E45" s="25" t="s">
        <v>78</v>
      </c>
      <c r="F45" s="26">
        <v>4.3564814814814813E-2</v>
      </c>
      <c r="G45" s="25"/>
      <c r="H45" s="26">
        <v>8.969907407407407E-2</v>
      </c>
      <c r="I45" s="10">
        <v>9.2835648148148153E-2</v>
      </c>
      <c r="J45" s="10">
        <v>9.8032407407407415E-2</v>
      </c>
      <c r="K45" s="10">
        <v>0.10127314814814814</v>
      </c>
      <c r="L45" s="10">
        <v>0.10303240740740742</v>
      </c>
      <c r="M45" s="10">
        <v>0.10405092592592592</v>
      </c>
      <c r="N45" s="10">
        <v>0.10554398148148147</v>
      </c>
      <c r="O45" s="10">
        <v>0.10854166666666666</v>
      </c>
      <c r="P45" s="10">
        <v>0.1097800925925926</v>
      </c>
      <c r="Q45" s="10">
        <v>0.11302083333333333</v>
      </c>
      <c r="R45" s="10">
        <v>0.1140625</v>
      </c>
      <c r="S45" s="10">
        <v>0.1154513888888889</v>
      </c>
      <c r="T45" s="10">
        <v>0.1193287037037037</v>
      </c>
      <c r="U45" s="10">
        <v>0.12104166666666666</v>
      </c>
      <c r="V45" s="10">
        <v>0.12402777777777778</v>
      </c>
      <c r="W45" s="10">
        <v>0.12717592592592594</v>
      </c>
      <c r="X45" s="10">
        <v>0.12887731481481482</v>
      </c>
      <c r="Y45" s="55">
        <v>0.12943287037037035</v>
      </c>
      <c r="AA45" s="8" t="s">
        <v>383</v>
      </c>
      <c r="AB45" s="8" t="s">
        <v>448</v>
      </c>
      <c r="AC45" s="8" t="s">
        <v>420</v>
      </c>
    </row>
    <row r="46" spans="1:29" x14ac:dyDescent="0.25">
      <c r="A46" s="25"/>
      <c r="B46" s="24"/>
      <c r="C46" s="24" t="s">
        <v>171</v>
      </c>
      <c r="D46" s="25">
        <v>403</v>
      </c>
      <c r="E46" s="25" t="s">
        <v>78</v>
      </c>
      <c r="F46" s="26">
        <v>4.445601851851852E-2</v>
      </c>
      <c r="G46" s="25"/>
      <c r="H46" s="26">
        <v>0.13325231481481481</v>
      </c>
      <c r="I46" s="10">
        <v>0.13707175925925927</v>
      </c>
      <c r="J46" s="10">
        <v>0.14184027777777777</v>
      </c>
      <c r="K46" s="10">
        <v>0.1449074074074074</v>
      </c>
      <c r="L46" s="67">
        <v>0.14600694444444443</v>
      </c>
      <c r="M46" s="10">
        <v>0.14803240740740739</v>
      </c>
      <c r="N46" s="10">
        <v>0.1499189814814815</v>
      </c>
      <c r="O46" s="10">
        <v>0.15266203703703704</v>
      </c>
      <c r="P46" s="10">
        <v>0.15347222222222223</v>
      </c>
      <c r="Q46" s="10">
        <v>0.15520833333333334</v>
      </c>
      <c r="R46" s="10">
        <v>0.15834490740740739</v>
      </c>
      <c r="S46" s="10">
        <v>0.16045138888888888</v>
      </c>
      <c r="T46" s="10">
        <v>0.16336805555555556</v>
      </c>
      <c r="U46" s="10">
        <v>0.16587962962962963</v>
      </c>
      <c r="V46" s="10">
        <v>0.16707175925925924</v>
      </c>
      <c r="W46" s="10">
        <v>0.17108796296296294</v>
      </c>
      <c r="X46" s="10">
        <v>0.17328703703703704</v>
      </c>
      <c r="Y46" s="55">
        <v>0.17388888888888887</v>
      </c>
      <c r="AA46" s="8" t="s">
        <v>384</v>
      </c>
      <c r="AB46" s="8" t="s">
        <v>449</v>
      </c>
      <c r="AC46" s="8" t="s">
        <v>421</v>
      </c>
    </row>
    <row r="47" spans="1:29" x14ac:dyDescent="0.25">
      <c r="A47" s="25"/>
      <c r="B47" s="24"/>
      <c r="C47" s="24"/>
      <c r="D47" s="25"/>
      <c r="E47" s="25"/>
      <c r="F47" s="25"/>
      <c r="G47" s="25"/>
      <c r="H47" s="25"/>
    </row>
    <row r="48" spans="1:29" x14ac:dyDescent="0.25">
      <c r="G48" s="25"/>
      <c r="H48" s="26">
        <f>H43</f>
        <v>4.2245370370370371E-3</v>
      </c>
      <c r="I48" s="10">
        <f>I43-H43</f>
        <v>2.604166666666667E-3</v>
      </c>
      <c r="J48" s="10">
        <f t="shared" ref="J48:Y48" si="11">J43-I43</f>
        <v>2.835648148148147E-3</v>
      </c>
      <c r="K48" s="10">
        <f t="shared" si="11"/>
        <v>4.1782407407407428E-3</v>
      </c>
      <c r="L48" s="10">
        <f t="shared" si="11"/>
        <v>8.1018518518518462E-4</v>
      </c>
      <c r="M48" s="10">
        <f t="shared" si="11"/>
        <v>8.2175925925925992E-4</v>
      </c>
      <c r="N48" s="10">
        <f t="shared" si="11"/>
        <v>2.8124999999999973E-3</v>
      </c>
      <c r="O48" s="10">
        <f t="shared" si="11"/>
        <v>2.8240740740740726E-3</v>
      </c>
      <c r="P48" s="10">
        <f t="shared" si="11"/>
        <v>2.557870370370377E-3</v>
      </c>
      <c r="Q48" s="10">
        <f t="shared" si="11"/>
        <v>2.1412037037036973E-3</v>
      </c>
      <c r="R48" s="10">
        <f t="shared" si="11"/>
        <v>1.2615740740740747E-3</v>
      </c>
      <c r="S48" s="10">
        <f t="shared" si="11"/>
        <v>1.6319444444444463E-3</v>
      </c>
      <c r="T48" s="10">
        <f t="shared" si="11"/>
        <v>2.8703703703703703E-3</v>
      </c>
      <c r="U48" s="10">
        <f t="shared" si="11"/>
        <v>3.1365740740740763E-3</v>
      </c>
      <c r="V48" s="10">
        <f t="shared" si="11"/>
        <v>1.7129629629629647E-3</v>
      </c>
      <c r="W48" s="10">
        <f t="shared" si="11"/>
        <v>3.5648148148148123E-3</v>
      </c>
      <c r="X48" s="10">
        <f t="shared" si="11"/>
        <v>1.7476851851851855E-3</v>
      </c>
      <c r="Y48" s="10">
        <f t="shared" si="11"/>
        <v>6.1342592592592005E-4</v>
      </c>
    </row>
    <row r="49" spans="1:29" x14ac:dyDescent="0.25">
      <c r="G49" s="25"/>
      <c r="H49" s="26">
        <f>H44-Y43</f>
        <v>5.1620370370370414E-3</v>
      </c>
      <c r="I49" s="10">
        <f t="shared" ref="I49:Y49" si="12">I44-H44</f>
        <v>2.8935185185185175E-3</v>
      </c>
      <c r="J49" s="10">
        <f t="shared" si="12"/>
        <v>4.05092592592593E-3</v>
      </c>
      <c r="K49" s="10">
        <f t="shared" si="12"/>
        <v>3.9351851851851805E-3</v>
      </c>
      <c r="L49" s="10">
        <f t="shared" si="12"/>
        <v>9.2592592592592726E-4</v>
      </c>
      <c r="M49" s="10">
        <f t="shared" si="12"/>
        <v>1.041666666666663E-3</v>
      </c>
      <c r="N49" s="10">
        <f t="shared" si="12"/>
        <v>1.7939814814814867E-3</v>
      </c>
      <c r="O49" s="10">
        <f t="shared" si="12"/>
        <v>3.7962962962962976E-3</v>
      </c>
      <c r="P49" s="10">
        <f t="shared" si="12"/>
        <v>1.3078703703703759E-3</v>
      </c>
      <c r="Q49" s="10">
        <f t="shared" si="12"/>
        <v>1.2615740740740677E-3</v>
      </c>
      <c r="R49" s="10">
        <f t="shared" si="12"/>
        <v>2.9398148148148118E-3</v>
      </c>
      <c r="S49" s="10">
        <f t="shared" si="12"/>
        <v>2.1759259259259284E-3</v>
      </c>
      <c r="T49" s="10">
        <f t="shared" si="12"/>
        <v>1.8865740740740683E-3</v>
      </c>
      <c r="U49" s="10">
        <f t="shared" si="12"/>
        <v>1.9097222222222293E-3</v>
      </c>
      <c r="V49" s="10">
        <f t="shared" si="12"/>
        <v>2.4074074074073998E-3</v>
      </c>
      <c r="W49" s="10">
        <f t="shared" si="12"/>
        <v>3.7962962962962976E-3</v>
      </c>
      <c r="X49" s="10">
        <f t="shared" si="12"/>
        <v>1.7013888888888912E-3</v>
      </c>
      <c r="Y49" s="10">
        <f t="shared" si="12"/>
        <v>5.3240740740739811E-4</v>
      </c>
    </row>
    <row r="50" spans="1:29" x14ac:dyDescent="0.25">
      <c r="G50" s="25"/>
      <c r="H50" s="26">
        <f t="shared" ref="H50:H51" si="13">H45-Y44</f>
        <v>3.8310185185185253E-3</v>
      </c>
      <c r="I50" s="10">
        <f t="shared" ref="I50:Y50" si="14">I45-H45</f>
        <v>3.1365740740740833E-3</v>
      </c>
      <c r="J50" s="10">
        <f t="shared" si="14"/>
        <v>5.1967592592592621E-3</v>
      </c>
      <c r="K50" s="10">
        <f t="shared" si="14"/>
        <v>3.2407407407407246E-3</v>
      </c>
      <c r="L50" s="10">
        <f t="shared" si="14"/>
        <v>1.7592592592592798E-3</v>
      </c>
      <c r="M50" s="10">
        <f t="shared" si="14"/>
        <v>1.0185185185185019E-3</v>
      </c>
      <c r="N50" s="10">
        <f t="shared" si="14"/>
        <v>1.493055555555553E-3</v>
      </c>
      <c r="O50" s="10">
        <f t="shared" si="14"/>
        <v>2.9976851851851866E-3</v>
      </c>
      <c r="P50" s="10">
        <f t="shared" si="14"/>
        <v>1.2384259259259345E-3</v>
      </c>
      <c r="Q50" s="10">
        <f t="shared" si="14"/>
        <v>3.2407407407407385E-3</v>
      </c>
      <c r="R50" s="10">
        <f t="shared" si="14"/>
        <v>1.041666666666663E-3</v>
      </c>
      <c r="S50" s="10">
        <f t="shared" si="14"/>
        <v>1.3888888888888978E-3</v>
      </c>
      <c r="T50" s="10">
        <f t="shared" si="14"/>
        <v>3.8773148148148057E-3</v>
      </c>
      <c r="U50" s="10">
        <f t="shared" si="14"/>
        <v>1.7129629629629578E-3</v>
      </c>
      <c r="V50" s="10">
        <f t="shared" si="14"/>
        <v>2.9861111111111199E-3</v>
      </c>
      <c r="W50" s="10">
        <f t="shared" si="14"/>
        <v>3.1481481481481638E-3</v>
      </c>
      <c r="X50" s="10">
        <f t="shared" si="14"/>
        <v>1.7013888888888773E-3</v>
      </c>
      <c r="Y50" s="10">
        <f t="shared" si="14"/>
        <v>5.5555555555553138E-4</v>
      </c>
    </row>
    <row r="51" spans="1:29" x14ac:dyDescent="0.25">
      <c r="G51" s="25"/>
      <c r="H51" s="26">
        <f t="shared" si="13"/>
        <v>3.8194444444444586E-3</v>
      </c>
      <c r="I51" s="10">
        <f t="shared" ref="I51:Y51" si="15">I46-H46</f>
        <v>3.8194444444444586E-3</v>
      </c>
      <c r="J51" s="10">
        <f t="shared" si="15"/>
        <v>4.7685185185185053E-3</v>
      </c>
      <c r="K51" s="10">
        <f t="shared" si="15"/>
        <v>3.067129629629628E-3</v>
      </c>
      <c r="L51" s="10">
        <f t="shared" si="15"/>
        <v>1.0995370370370239E-3</v>
      </c>
      <c r="M51" s="10">
        <f t="shared" si="15"/>
        <v>2.025462962962965E-3</v>
      </c>
      <c r="N51" s="10">
        <f t="shared" si="15"/>
        <v>1.8865740740741099E-3</v>
      </c>
      <c r="O51" s="10">
        <f t="shared" si="15"/>
        <v>2.7430555555555403E-3</v>
      </c>
      <c r="P51" s="10">
        <f t="shared" si="15"/>
        <v>8.1018518518519156E-4</v>
      </c>
      <c r="Q51" s="10">
        <f t="shared" si="15"/>
        <v>1.7361111111111049E-3</v>
      </c>
      <c r="R51" s="10">
        <f t="shared" si="15"/>
        <v>3.1365740740740555E-3</v>
      </c>
      <c r="S51" s="10">
        <f t="shared" si="15"/>
        <v>2.106481481481487E-3</v>
      </c>
      <c r="T51" s="10">
        <f t="shared" si="15"/>
        <v>2.9166666666666785E-3</v>
      </c>
      <c r="U51" s="10">
        <f t="shared" si="15"/>
        <v>2.5115740740740689E-3</v>
      </c>
      <c r="V51" s="10">
        <f t="shared" si="15"/>
        <v>1.1921296296296124E-3</v>
      </c>
      <c r="W51" s="10">
        <f t="shared" si="15"/>
        <v>4.0162037037037024E-3</v>
      </c>
      <c r="X51" s="10">
        <f t="shared" si="15"/>
        <v>2.1990740740741033E-3</v>
      </c>
      <c r="Y51" s="10">
        <f t="shared" si="15"/>
        <v>6.0185185185182566E-4</v>
      </c>
    </row>
    <row r="52" spans="1:29" x14ac:dyDescent="0.25">
      <c r="G52" s="25"/>
      <c r="H52" s="26"/>
      <c r="I52" s="10"/>
      <c r="J52" s="10"/>
      <c r="K52" s="10"/>
      <c r="L52" s="10"/>
      <c r="M52" s="10"/>
      <c r="N52" s="10"/>
    </row>
    <row r="53" spans="1:29" x14ac:dyDescent="0.25">
      <c r="A53" s="25">
        <v>4</v>
      </c>
      <c r="B53" s="24" t="s">
        <v>16</v>
      </c>
      <c r="C53" s="24" t="s">
        <v>174</v>
      </c>
      <c r="D53" s="25">
        <v>108</v>
      </c>
      <c r="E53" s="25" t="s">
        <v>78</v>
      </c>
      <c r="F53" s="26">
        <v>4.6770833333333338E-2</v>
      </c>
      <c r="G53" s="25"/>
      <c r="H53" s="26">
        <v>3.645833333333333E-3</v>
      </c>
      <c r="I53" s="10">
        <v>6.2962962962962964E-3</v>
      </c>
      <c r="J53" s="10">
        <v>1.0497685185185186E-2</v>
      </c>
      <c r="K53" s="10">
        <v>1.3888888888888888E-2</v>
      </c>
      <c r="L53" s="10">
        <v>1.5358796296296296E-2</v>
      </c>
      <c r="M53" s="10">
        <v>1.7187499999999998E-2</v>
      </c>
      <c r="N53" s="10">
        <v>1.8576388888888889E-2</v>
      </c>
      <c r="O53" s="10">
        <v>2.0752314814814814E-2</v>
      </c>
      <c r="P53" s="10">
        <v>2.5439814814814814E-2</v>
      </c>
      <c r="Q53" s="10">
        <v>2.7083333333333334E-2</v>
      </c>
      <c r="R53" s="10">
        <v>2.8854166666666667E-2</v>
      </c>
      <c r="S53" s="10">
        <v>3.1539351851851853E-2</v>
      </c>
      <c r="T53" s="10">
        <v>3.4953703703703702E-2</v>
      </c>
      <c r="U53" s="10">
        <v>3.858796296296297E-2</v>
      </c>
      <c r="V53" s="10">
        <v>4.0740740740740737E-2</v>
      </c>
      <c r="W53" s="10">
        <v>4.4374999999999998E-2</v>
      </c>
      <c r="X53" s="10">
        <v>4.6250000000000006E-2</v>
      </c>
      <c r="Y53" s="55">
        <v>4.6770833333333338E-2</v>
      </c>
      <c r="AA53" s="8" t="s">
        <v>385</v>
      </c>
      <c r="AB53" s="8">
        <v>8.8800000000000008</v>
      </c>
      <c r="AC53" s="8" t="s">
        <v>422</v>
      </c>
    </row>
    <row r="54" spans="1:29" x14ac:dyDescent="0.25">
      <c r="A54" s="25"/>
      <c r="B54" s="24"/>
      <c r="C54" s="24" t="s">
        <v>100</v>
      </c>
      <c r="D54" s="25">
        <v>208</v>
      </c>
      <c r="E54" s="25" t="s">
        <v>78</v>
      </c>
      <c r="F54" s="26">
        <v>4.1712962962962959E-2</v>
      </c>
      <c r="G54" s="25"/>
      <c r="H54" s="26">
        <v>4.9652777777777775E-2</v>
      </c>
      <c r="I54" s="10">
        <v>5.3090277777777778E-2</v>
      </c>
      <c r="J54" s="10">
        <v>5.7233796296296297E-2</v>
      </c>
      <c r="K54" s="10">
        <v>6.069444444444444E-2</v>
      </c>
      <c r="L54" s="10">
        <v>6.1342592592592594E-2</v>
      </c>
      <c r="M54" s="10">
        <v>6.267361111111111E-2</v>
      </c>
      <c r="N54" s="10">
        <v>6.5856481481481488E-2</v>
      </c>
      <c r="O54" s="10">
        <v>6.8217592592592594E-2</v>
      </c>
      <c r="P54" s="10">
        <v>7.0277777777777786E-2</v>
      </c>
      <c r="Q54" s="10">
        <v>7.2048611111111105E-2</v>
      </c>
      <c r="R54" s="10">
        <v>7.3229166666666665E-2</v>
      </c>
      <c r="S54" s="10">
        <v>7.4942129629629636E-2</v>
      </c>
      <c r="T54" s="10">
        <v>7.7754629629629632E-2</v>
      </c>
      <c r="U54" s="10">
        <v>7.9976851851851841E-2</v>
      </c>
      <c r="V54" s="10">
        <v>8.261574074074074E-2</v>
      </c>
      <c r="W54" s="10">
        <v>8.6192129629629632E-2</v>
      </c>
      <c r="X54" s="10">
        <v>8.7928240740740737E-2</v>
      </c>
      <c r="Y54" s="55">
        <v>8.8483796296296297E-2</v>
      </c>
      <c r="AA54" s="8" t="s">
        <v>386</v>
      </c>
      <c r="AB54" s="8" t="s">
        <v>450</v>
      </c>
      <c r="AC54" s="8" t="s">
        <v>423</v>
      </c>
    </row>
    <row r="55" spans="1:29" x14ac:dyDescent="0.25">
      <c r="A55" s="25"/>
      <c r="B55" s="24"/>
      <c r="C55" s="24" t="s">
        <v>82</v>
      </c>
      <c r="D55" s="25">
        <v>308</v>
      </c>
      <c r="E55" s="25" t="s">
        <v>78</v>
      </c>
      <c r="F55" s="26">
        <v>4.4965277777777778E-2</v>
      </c>
      <c r="G55" s="25"/>
      <c r="H55" s="26">
        <v>9.224537037037038E-2</v>
      </c>
      <c r="I55" s="10">
        <v>9.3888888888888897E-2</v>
      </c>
      <c r="J55" s="10">
        <v>9.7222222222222224E-2</v>
      </c>
      <c r="K55" s="10">
        <v>0.10112268518518519</v>
      </c>
      <c r="L55" s="10">
        <v>0.1017361111111111</v>
      </c>
      <c r="M55" s="10">
        <v>0.10295138888888888</v>
      </c>
      <c r="N55" s="10">
        <v>0.10417824074074074</v>
      </c>
      <c r="O55" s="10">
        <v>0.1082175925925926</v>
      </c>
      <c r="P55" s="10">
        <v>0.10965277777777778</v>
      </c>
      <c r="Q55" s="10">
        <v>0.11157407407407406</v>
      </c>
      <c r="R55" s="10">
        <v>0.11452546296296295</v>
      </c>
      <c r="S55" s="10">
        <v>0.11734953703703704</v>
      </c>
      <c r="T55" s="10">
        <v>0.11937500000000001</v>
      </c>
      <c r="U55" s="10">
        <v>0.12133101851851852</v>
      </c>
      <c r="V55" s="10">
        <v>0.12833333333333333</v>
      </c>
      <c r="W55" s="10">
        <v>0.13111111111111109</v>
      </c>
      <c r="X55" s="10">
        <v>0.13285879629629629</v>
      </c>
      <c r="Y55" s="55">
        <v>0.13344907407407408</v>
      </c>
      <c r="AA55" s="8" t="s">
        <v>387</v>
      </c>
      <c r="AB55" s="8" t="s">
        <v>451</v>
      </c>
      <c r="AC55" s="8" t="s">
        <v>424</v>
      </c>
    </row>
    <row r="56" spans="1:29" x14ac:dyDescent="0.25">
      <c r="A56" s="25"/>
      <c r="B56" s="24"/>
      <c r="C56" s="24" t="s">
        <v>162</v>
      </c>
      <c r="D56" s="28">
        <v>408</v>
      </c>
      <c r="E56" s="25" t="s">
        <v>78</v>
      </c>
      <c r="F56" s="29">
        <v>4.2152777777777782E-2</v>
      </c>
      <c r="G56" s="25"/>
      <c r="H56" s="26">
        <v>0.13680555555555554</v>
      </c>
      <c r="I56" s="10">
        <v>0.13944444444444445</v>
      </c>
      <c r="J56" s="10">
        <v>0.14311342592592594</v>
      </c>
      <c r="K56" s="68">
        <v>0.14717592592592593</v>
      </c>
      <c r="L56" s="10">
        <v>0.14861111111111111</v>
      </c>
      <c r="M56" s="10">
        <v>0.15341435185185184</v>
      </c>
      <c r="N56" s="10">
        <v>0.15447916666666667</v>
      </c>
      <c r="O56" s="10">
        <v>0.1570138888888889</v>
      </c>
      <c r="P56" s="10">
        <v>0.15881944444444443</v>
      </c>
      <c r="Q56" s="10">
        <v>0.16059027777777776</v>
      </c>
      <c r="R56" s="10">
        <v>0.16186342592592592</v>
      </c>
      <c r="S56" s="10">
        <v>0.16421296296296298</v>
      </c>
      <c r="T56" s="10">
        <v>0.16678240740740743</v>
      </c>
      <c r="U56" s="10">
        <v>0.16868055555555553</v>
      </c>
      <c r="V56" s="10">
        <v>0.16996527777777778</v>
      </c>
      <c r="W56" s="10">
        <v>0.17332175925925927</v>
      </c>
      <c r="X56" s="10">
        <v>0.17495370370370369</v>
      </c>
      <c r="Y56" s="55">
        <v>0.17560185185185187</v>
      </c>
      <c r="AA56" s="8" t="s">
        <v>388</v>
      </c>
      <c r="AB56" s="8" t="s">
        <v>452</v>
      </c>
      <c r="AC56" s="8" t="s">
        <v>425</v>
      </c>
    </row>
    <row r="57" spans="1:29" x14ac:dyDescent="0.25">
      <c r="A57" s="25"/>
      <c r="B57" s="24"/>
      <c r="C57" s="24"/>
      <c r="D57" s="28"/>
      <c r="E57" s="28"/>
      <c r="F57" s="28"/>
      <c r="G57" s="25"/>
      <c r="H57" s="25"/>
    </row>
    <row r="58" spans="1:29" x14ac:dyDescent="0.25">
      <c r="G58" s="25"/>
      <c r="H58" s="26">
        <f>H53</f>
        <v>3.645833333333333E-3</v>
      </c>
      <c r="I58" s="10">
        <f>I53-H53</f>
        <v>2.6504629629629634E-3</v>
      </c>
      <c r="J58" s="10">
        <f t="shared" ref="J58:Y58" si="16">J53-I53</f>
        <v>4.2013888888888899E-3</v>
      </c>
      <c r="K58" s="10">
        <f t="shared" si="16"/>
        <v>3.3912037037037018E-3</v>
      </c>
      <c r="L58" s="10">
        <f t="shared" si="16"/>
        <v>1.4699074074074076E-3</v>
      </c>
      <c r="M58" s="10">
        <f t="shared" si="16"/>
        <v>1.8287037037037022E-3</v>
      </c>
      <c r="N58" s="10">
        <f t="shared" si="16"/>
        <v>1.3888888888888909E-3</v>
      </c>
      <c r="O58" s="10">
        <f t="shared" si="16"/>
        <v>2.1759259259259249E-3</v>
      </c>
      <c r="P58" s="10">
        <f t="shared" si="16"/>
        <v>4.6875000000000007E-3</v>
      </c>
      <c r="Q58" s="10">
        <f t="shared" si="16"/>
        <v>1.6435185185185198E-3</v>
      </c>
      <c r="R58" s="10">
        <f t="shared" si="16"/>
        <v>1.7708333333333326E-3</v>
      </c>
      <c r="S58" s="10">
        <f t="shared" si="16"/>
        <v>2.6851851851851863E-3</v>
      </c>
      <c r="T58" s="10">
        <f t="shared" si="16"/>
        <v>3.414351851851849E-3</v>
      </c>
      <c r="U58" s="10">
        <f t="shared" si="16"/>
        <v>3.6342592592592676E-3</v>
      </c>
      <c r="V58" s="10">
        <f t="shared" si="16"/>
        <v>2.1527777777777674E-3</v>
      </c>
      <c r="W58" s="10">
        <f t="shared" si="16"/>
        <v>3.6342592592592607E-3</v>
      </c>
      <c r="X58" s="10">
        <f t="shared" si="16"/>
        <v>1.8750000000000086E-3</v>
      </c>
      <c r="Y58" s="10">
        <f t="shared" si="16"/>
        <v>5.2083333333333148E-4</v>
      </c>
    </row>
    <row r="59" spans="1:29" x14ac:dyDescent="0.25">
      <c r="G59" s="25"/>
      <c r="H59" s="26">
        <f>H54-Y53</f>
        <v>2.881944444444437E-3</v>
      </c>
      <c r="I59" s="10">
        <f t="shared" ref="I59:I61" si="17">I54-H54</f>
        <v>3.4375000000000031E-3</v>
      </c>
      <c r="J59" s="10">
        <f t="shared" ref="J59:Y59" si="18">J54-I54</f>
        <v>4.1435185185185186E-3</v>
      </c>
      <c r="K59" s="10">
        <f t="shared" si="18"/>
        <v>3.4606481481481433E-3</v>
      </c>
      <c r="L59" s="10">
        <f t="shared" si="18"/>
        <v>6.4814814814815463E-4</v>
      </c>
      <c r="M59" s="10">
        <f t="shared" si="18"/>
        <v>1.3310185185185161E-3</v>
      </c>
      <c r="N59" s="10">
        <f t="shared" si="18"/>
        <v>3.1828703703703776E-3</v>
      </c>
      <c r="O59" s="10">
        <f t="shared" si="18"/>
        <v>2.3611111111111055E-3</v>
      </c>
      <c r="P59" s="10">
        <f t="shared" si="18"/>
        <v>2.0601851851851927E-3</v>
      </c>
      <c r="Q59" s="10">
        <f t="shared" si="18"/>
        <v>1.7708333333333187E-3</v>
      </c>
      <c r="R59" s="10">
        <f t="shared" si="18"/>
        <v>1.1805555555555597E-3</v>
      </c>
      <c r="S59" s="10">
        <f t="shared" si="18"/>
        <v>1.7129629629629717E-3</v>
      </c>
      <c r="T59" s="10">
        <f t="shared" si="18"/>
        <v>2.8124999999999956E-3</v>
      </c>
      <c r="U59" s="10">
        <f t="shared" si="18"/>
        <v>2.2222222222222088E-3</v>
      </c>
      <c r="V59" s="10">
        <f t="shared" si="18"/>
        <v>2.6388888888888989E-3</v>
      </c>
      <c r="W59" s="10">
        <f t="shared" si="18"/>
        <v>3.5763888888888928E-3</v>
      </c>
      <c r="X59" s="10">
        <f t="shared" si="18"/>
        <v>1.7361111111111049E-3</v>
      </c>
      <c r="Y59" s="10">
        <f t="shared" si="18"/>
        <v>5.5555555555555913E-4</v>
      </c>
    </row>
    <row r="60" spans="1:29" x14ac:dyDescent="0.25">
      <c r="G60" s="25"/>
      <c r="H60" s="26">
        <f t="shared" ref="H60:H61" si="19">H55-Y54</f>
        <v>3.7615740740740838E-3</v>
      </c>
      <c r="I60" s="10">
        <f t="shared" si="17"/>
        <v>1.6435185185185164E-3</v>
      </c>
      <c r="J60" s="10">
        <f t="shared" ref="J60:Y60" si="20">J55-I55</f>
        <v>3.333333333333327E-3</v>
      </c>
      <c r="K60" s="10">
        <f t="shared" si="20"/>
        <v>3.9004629629629667E-3</v>
      </c>
      <c r="L60" s="10">
        <f t="shared" si="20"/>
        <v>6.1342592592590617E-4</v>
      </c>
      <c r="M60" s="10">
        <f t="shared" si="20"/>
        <v>1.2152777777777873E-3</v>
      </c>
      <c r="N60" s="10">
        <f t="shared" si="20"/>
        <v>1.226851851851854E-3</v>
      </c>
      <c r="O60" s="10">
        <f t="shared" si="20"/>
        <v>4.0393518518518634E-3</v>
      </c>
      <c r="P60" s="10">
        <f t="shared" si="20"/>
        <v>1.4351851851851782E-3</v>
      </c>
      <c r="Q60" s="10">
        <f t="shared" si="20"/>
        <v>1.9212962962962821E-3</v>
      </c>
      <c r="R60" s="10">
        <f t="shared" si="20"/>
        <v>2.9513888888888923E-3</v>
      </c>
      <c r="S60" s="10">
        <f t="shared" si="20"/>
        <v>2.8240740740740899E-3</v>
      </c>
      <c r="T60" s="10">
        <f t="shared" si="20"/>
        <v>2.025462962962965E-3</v>
      </c>
      <c r="U60" s="10">
        <f t="shared" si="20"/>
        <v>1.9560185185185097E-3</v>
      </c>
      <c r="V60" s="10">
        <f t="shared" si="20"/>
        <v>7.0023148148148084E-3</v>
      </c>
      <c r="W60" s="10">
        <f t="shared" si="20"/>
        <v>2.7777777777777679E-3</v>
      </c>
      <c r="X60" s="10">
        <f t="shared" si="20"/>
        <v>1.7476851851851993E-3</v>
      </c>
      <c r="Y60" s="10">
        <f t="shared" si="20"/>
        <v>5.9027777777778678E-4</v>
      </c>
    </row>
    <row r="61" spans="1:29" x14ac:dyDescent="0.25">
      <c r="G61" s="25"/>
      <c r="H61" s="26">
        <f t="shared" si="19"/>
        <v>3.3564814814814603E-3</v>
      </c>
      <c r="I61" s="10">
        <f t="shared" si="17"/>
        <v>2.6388888888889128E-3</v>
      </c>
      <c r="J61" s="10">
        <f t="shared" ref="J61:Y61" si="21">J56-I56</f>
        <v>3.6689814814814814E-3</v>
      </c>
      <c r="K61" s="10">
        <f t="shared" si="21"/>
        <v>4.0624999999999967E-3</v>
      </c>
      <c r="L61" s="10">
        <f t="shared" si="21"/>
        <v>1.4351851851851782E-3</v>
      </c>
      <c r="M61" s="10">
        <f t="shared" si="21"/>
        <v>4.8032407407407329E-3</v>
      </c>
      <c r="N61" s="10">
        <f t="shared" si="21"/>
        <v>1.064814814814824E-3</v>
      </c>
      <c r="O61" s="10">
        <f t="shared" si="21"/>
        <v>2.5347222222222299E-3</v>
      </c>
      <c r="P61" s="10">
        <f t="shared" si="21"/>
        <v>1.8055555555555325E-3</v>
      </c>
      <c r="Q61" s="10">
        <f t="shared" si="21"/>
        <v>1.7708333333333326E-3</v>
      </c>
      <c r="R61" s="10">
        <f t="shared" si="21"/>
        <v>1.2731481481481621E-3</v>
      </c>
      <c r="S61" s="10">
        <f t="shared" si="21"/>
        <v>2.3495370370370527E-3</v>
      </c>
      <c r="T61" s="10">
        <f t="shared" si="21"/>
        <v>2.5694444444444575E-3</v>
      </c>
      <c r="U61" s="10">
        <f t="shared" si="21"/>
        <v>1.8981481481480933E-3</v>
      </c>
      <c r="V61" s="10">
        <f t="shared" si="21"/>
        <v>1.2847222222222565E-3</v>
      </c>
      <c r="W61" s="10">
        <f t="shared" si="21"/>
        <v>3.3564814814814881E-3</v>
      </c>
      <c r="X61" s="10">
        <f t="shared" si="21"/>
        <v>1.631944444444422E-3</v>
      </c>
      <c r="Y61" s="10">
        <f t="shared" si="21"/>
        <v>6.4814814814817545E-4</v>
      </c>
    </row>
    <row r="62" spans="1:29" x14ac:dyDescent="0.25">
      <c r="G62" s="25"/>
      <c r="H62" s="26"/>
      <c r="I62" s="10"/>
      <c r="J62" s="10"/>
      <c r="L62" s="67"/>
      <c r="M62" s="10"/>
      <c r="N62" s="67"/>
    </row>
    <row r="63" spans="1:29" x14ac:dyDescent="0.25">
      <c r="A63" s="25">
        <v>5</v>
      </c>
      <c r="B63" s="24" t="s">
        <v>12</v>
      </c>
      <c r="C63" s="24" t="s">
        <v>166</v>
      </c>
      <c r="D63" s="28">
        <v>103</v>
      </c>
      <c r="E63" s="25" t="s">
        <v>78</v>
      </c>
      <c r="F63" s="29">
        <v>4.1863425925925929E-2</v>
      </c>
      <c r="G63" s="25"/>
      <c r="H63" s="26">
        <v>3.7615740740740739E-3</v>
      </c>
      <c r="I63" s="10">
        <v>6.6435185185185182E-3</v>
      </c>
      <c r="J63" s="10">
        <v>1.0115740740740741E-2</v>
      </c>
      <c r="K63" s="10">
        <v>1.3819444444444445E-2</v>
      </c>
      <c r="L63" s="10">
        <v>1.4675925925925926E-2</v>
      </c>
      <c r="M63" s="10">
        <v>1.545138888888889E-2</v>
      </c>
      <c r="N63" s="10">
        <v>1.8634259259259257E-2</v>
      </c>
      <c r="O63" s="10">
        <v>2.074074074074074E-2</v>
      </c>
      <c r="P63" s="10">
        <v>2.3206018518518515E-2</v>
      </c>
      <c r="Q63" s="10">
        <v>2.5173611111111108E-2</v>
      </c>
      <c r="R63" s="10">
        <v>2.7488425925925927E-2</v>
      </c>
      <c r="S63" s="10">
        <v>3.0451388888888889E-2</v>
      </c>
      <c r="T63" s="10">
        <v>3.1585648148148147E-2</v>
      </c>
      <c r="U63" s="10">
        <v>3.3217592592592597E-2</v>
      </c>
      <c r="V63" s="10">
        <v>3.5995370370370372E-2</v>
      </c>
      <c r="W63" s="10">
        <v>3.9756944444444449E-2</v>
      </c>
      <c r="X63" s="10">
        <v>4.1261574074074069E-2</v>
      </c>
      <c r="Y63" s="55">
        <v>4.1863425925925929E-2</v>
      </c>
      <c r="AA63" s="8" t="s">
        <v>376</v>
      </c>
      <c r="AB63" s="8">
        <v>8.6999999999999993</v>
      </c>
      <c r="AC63" s="8" t="s">
        <v>416</v>
      </c>
    </row>
    <row r="64" spans="1:29" x14ac:dyDescent="0.25">
      <c r="A64" s="25"/>
      <c r="B64" s="24"/>
      <c r="C64" s="24" t="s">
        <v>158</v>
      </c>
      <c r="D64" s="28">
        <v>203</v>
      </c>
      <c r="E64" s="25" t="s">
        <v>78</v>
      </c>
      <c r="F64" s="29">
        <v>4.4641203703703704E-2</v>
      </c>
      <c r="G64" s="25"/>
      <c r="H64" s="26">
        <v>4.6064814814814815E-2</v>
      </c>
      <c r="I64" s="10">
        <v>4.8032407407407406E-2</v>
      </c>
      <c r="J64" s="10">
        <v>5.1620370370370372E-2</v>
      </c>
      <c r="K64" s="10">
        <v>5.5497685185185185E-2</v>
      </c>
      <c r="L64" s="10">
        <v>5.7233796296296297E-2</v>
      </c>
      <c r="M64" s="10">
        <v>5.8622685185185187E-2</v>
      </c>
      <c r="N64" s="10">
        <v>6.3622685185185185E-2</v>
      </c>
      <c r="O64" s="10">
        <v>6.3796296296296295E-2</v>
      </c>
      <c r="P64" s="10">
        <v>6.5694444444444444E-2</v>
      </c>
      <c r="Q64" s="10">
        <v>6.8171296296296299E-2</v>
      </c>
      <c r="R64" s="10">
        <v>6.9432870370370367E-2</v>
      </c>
      <c r="S64" s="10">
        <v>7.1180555555555566E-2</v>
      </c>
      <c r="T64" s="10">
        <v>7.5173611111111108E-2</v>
      </c>
      <c r="U64" s="10">
        <v>7.7604166666666669E-2</v>
      </c>
      <c r="V64" s="10">
        <v>8.1018518518518517E-2</v>
      </c>
      <c r="W64" s="10">
        <v>8.4282407407407403E-2</v>
      </c>
      <c r="X64" s="10">
        <v>8.6018518518518508E-2</v>
      </c>
      <c r="Y64" s="55">
        <v>8.6504629629629626E-2</v>
      </c>
      <c r="AA64" s="8" t="s">
        <v>389</v>
      </c>
      <c r="AB64" s="8" t="s">
        <v>453</v>
      </c>
      <c r="AC64" s="8" t="s">
        <v>426</v>
      </c>
    </row>
    <row r="65" spans="1:29" x14ac:dyDescent="0.25">
      <c r="A65" s="25"/>
      <c r="B65" s="24"/>
      <c r="C65" s="24" t="s">
        <v>156</v>
      </c>
      <c r="D65" s="28">
        <v>303</v>
      </c>
      <c r="E65" s="25" t="s">
        <v>78</v>
      </c>
      <c r="F65" s="29">
        <v>4.4861111111111109E-2</v>
      </c>
      <c r="G65" s="25"/>
      <c r="H65" s="26">
        <v>9.0277777777777776E-2</v>
      </c>
      <c r="I65" s="10">
        <v>9.4270833333333345E-2</v>
      </c>
      <c r="J65" s="10">
        <v>9.807870370370371E-2</v>
      </c>
      <c r="K65" s="10">
        <v>0.10185185185185186</v>
      </c>
      <c r="L65" s="10">
        <v>0.10283564814814815</v>
      </c>
      <c r="M65" s="10">
        <v>0.10462962962962963</v>
      </c>
      <c r="N65" s="10">
        <v>0.10814814814814815</v>
      </c>
      <c r="O65" s="10">
        <v>0.10987268518518518</v>
      </c>
      <c r="P65" s="10">
        <v>0.11076388888888888</v>
      </c>
      <c r="Q65" s="10">
        <v>0.11255787037037036</v>
      </c>
      <c r="R65" s="10">
        <v>0.11539351851851852</v>
      </c>
      <c r="S65" s="10">
        <v>0.11730324074074074</v>
      </c>
      <c r="T65" s="10">
        <v>0.11988425925925926</v>
      </c>
      <c r="U65" s="10">
        <v>0.12287037037037037</v>
      </c>
      <c r="V65" s="10">
        <v>0.12407407407407407</v>
      </c>
      <c r="W65" s="10">
        <v>0.12792824074074075</v>
      </c>
      <c r="X65" s="10">
        <v>0.13078703703703703</v>
      </c>
      <c r="Y65" s="55">
        <v>0.13136574074074073</v>
      </c>
      <c r="AA65" s="8" t="s">
        <v>390</v>
      </c>
      <c r="AB65" s="8" t="s">
        <v>454</v>
      </c>
      <c r="AC65" s="8" t="s">
        <v>427</v>
      </c>
    </row>
    <row r="66" spans="1:29" x14ac:dyDescent="0.25">
      <c r="A66" s="25"/>
      <c r="B66" s="24"/>
      <c r="C66" s="24" t="s">
        <v>49</v>
      </c>
      <c r="D66" s="28">
        <v>403</v>
      </c>
      <c r="E66" s="25" t="s">
        <v>78</v>
      </c>
      <c r="F66" s="29">
        <v>4.7060185185185184E-2</v>
      </c>
      <c r="G66" s="25"/>
      <c r="H66" s="26">
        <v>0.13493055555555555</v>
      </c>
      <c r="I66" s="10">
        <v>0.13747685185185185</v>
      </c>
      <c r="J66" s="10">
        <v>0.1446875</v>
      </c>
      <c r="K66" s="10">
        <v>0.14776620370370372</v>
      </c>
      <c r="L66" s="10">
        <v>0.14901620370370369</v>
      </c>
      <c r="M66" s="10">
        <v>0.14982638888888888</v>
      </c>
      <c r="N66" s="10">
        <v>0.1525</v>
      </c>
      <c r="O66" s="10">
        <v>0.15519675925925927</v>
      </c>
      <c r="P66" s="10">
        <v>0.15774305555555554</v>
      </c>
      <c r="Q66" s="10">
        <v>0.15973379629629628</v>
      </c>
      <c r="R66" s="10">
        <v>0.16090277777777778</v>
      </c>
      <c r="S66" s="10">
        <v>0.16296296296296295</v>
      </c>
      <c r="T66" s="10">
        <v>0.16631944444444444</v>
      </c>
      <c r="U66" s="10">
        <v>0.16828703703703704</v>
      </c>
      <c r="V66" s="10">
        <v>0.16998842592592592</v>
      </c>
      <c r="W66" s="10">
        <v>0.17571759259259259</v>
      </c>
      <c r="X66" s="10">
        <v>0.17780092592592592</v>
      </c>
      <c r="Y66" s="55">
        <v>0.1784259259259259</v>
      </c>
      <c r="AA66" s="8" t="s">
        <v>391</v>
      </c>
      <c r="AB66" s="8" t="s">
        <v>455</v>
      </c>
      <c r="AC66" s="8" t="s">
        <v>428</v>
      </c>
    </row>
    <row r="67" spans="1:29" x14ac:dyDescent="0.25">
      <c r="A67" s="25"/>
      <c r="B67" s="24"/>
      <c r="C67" s="24"/>
      <c r="D67" s="28"/>
      <c r="E67" s="28"/>
      <c r="F67" s="28"/>
      <c r="G67" s="28"/>
      <c r="H67" s="25"/>
    </row>
    <row r="68" spans="1:29" x14ac:dyDescent="0.25">
      <c r="G68" s="28"/>
      <c r="H68" s="10">
        <f>H63</f>
        <v>3.7615740740740739E-3</v>
      </c>
      <c r="I68" s="10">
        <f>I63-H63</f>
        <v>2.8819444444444444E-3</v>
      </c>
      <c r="J68" s="10">
        <f t="shared" ref="J68:Y71" si="22">J63-I63</f>
        <v>3.4722222222222229E-3</v>
      </c>
      <c r="K68" s="10">
        <f t="shared" si="22"/>
        <v>3.7037037037037038E-3</v>
      </c>
      <c r="L68" s="10">
        <f t="shared" si="22"/>
        <v>8.5648148148148064E-4</v>
      </c>
      <c r="M68" s="10">
        <f t="shared" si="22"/>
        <v>7.7546296296296391E-4</v>
      </c>
      <c r="N68" s="10">
        <f t="shared" si="22"/>
        <v>3.1828703703703672E-3</v>
      </c>
      <c r="O68" s="10">
        <f t="shared" si="22"/>
        <v>2.1064814814814835E-3</v>
      </c>
      <c r="P68" s="10">
        <f t="shared" si="22"/>
        <v>2.4652777777777746E-3</v>
      </c>
      <c r="Q68" s="10">
        <f t="shared" si="22"/>
        <v>1.9675925925925937E-3</v>
      </c>
      <c r="R68" s="10">
        <f t="shared" si="22"/>
        <v>2.3148148148148182E-3</v>
      </c>
      <c r="S68" s="10">
        <f t="shared" si="22"/>
        <v>2.9629629629629624E-3</v>
      </c>
      <c r="T68" s="10">
        <f t="shared" si="22"/>
        <v>1.1342592592592585E-3</v>
      </c>
      <c r="U68" s="10">
        <f t="shared" si="22"/>
        <v>1.6319444444444497E-3</v>
      </c>
      <c r="V68" s="10">
        <f t="shared" si="22"/>
        <v>2.7777777777777748E-3</v>
      </c>
      <c r="W68" s="10">
        <f t="shared" si="22"/>
        <v>3.7615740740740769E-3</v>
      </c>
      <c r="X68" s="10">
        <f t="shared" si="22"/>
        <v>1.5046296296296197E-3</v>
      </c>
      <c r="Y68" s="10">
        <f t="shared" si="22"/>
        <v>6.0185185185186035E-4</v>
      </c>
    </row>
    <row r="69" spans="1:29" x14ac:dyDescent="0.25">
      <c r="G69" s="28"/>
      <c r="H69" s="10">
        <f>H64-Y63</f>
        <v>4.2013888888888865E-3</v>
      </c>
      <c r="I69" s="10">
        <f t="shared" ref="I69:X71" si="23">I64-H64</f>
        <v>1.9675925925925902E-3</v>
      </c>
      <c r="J69" s="10">
        <f t="shared" si="23"/>
        <v>3.5879629629629664E-3</v>
      </c>
      <c r="K69" s="10">
        <f t="shared" si="23"/>
        <v>3.8773148148148126E-3</v>
      </c>
      <c r="L69" s="10">
        <f t="shared" si="23"/>
        <v>1.7361111111111119E-3</v>
      </c>
      <c r="M69" s="10">
        <f t="shared" si="23"/>
        <v>1.3888888888888909E-3</v>
      </c>
      <c r="N69" s="10">
        <f t="shared" si="23"/>
        <v>4.9999999999999975E-3</v>
      </c>
      <c r="O69" s="10">
        <f t="shared" si="23"/>
        <v>1.7361111111111049E-4</v>
      </c>
      <c r="P69" s="10">
        <f t="shared" si="23"/>
        <v>1.8981481481481488E-3</v>
      </c>
      <c r="Q69" s="10">
        <f t="shared" si="23"/>
        <v>2.4768518518518551E-3</v>
      </c>
      <c r="R69" s="10">
        <f t="shared" si="23"/>
        <v>1.2615740740740677E-3</v>
      </c>
      <c r="S69" s="10">
        <f t="shared" si="23"/>
        <v>1.7476851851851993E-3</v>
      </c>
      <c r="T69" s="10">
        <f t="shared" si="23"/>
        <v>3.9930555555555414E-3</v>
      </c>
      <c r="U69" s="10">
        <f t="shared" si="23"/>
        <v>2.4305555555555608E-3</v>
      </c>
      <c r="V69" s="10">
        <f t="shared" si="23"/>
        <v>3.414351851851849E-3</v>
      </c>
      <c r="W69" s="10">
        <f t="shared" si="23"/>
        <v>3.2638888888888856E-3</v>
      </c>
      <c r="X69" s="10">
        <f t="shared" si="23"/>
        <v>1.7361111111111049E-3</v>
      </c>
      <c r="Y69" s="10">
        <f t="shared" si="22"/>
        <v>4.8611111111111771E-4</v>
      </c>
    </row>
    <row r="70" spans="1:29" x14ac:dyDescent="0.25">
      <c r="G70" s="28"/>
      <c r="H70" s="10">
        <f t="shared" ref="H70:H71" si="24">H65-Y64</f>
        <v>3.7731481481481505E-3</v>
      </c>
      <c r="I70" s="10">
        <f t="shared" si="23"/>
        <v>3.9930555555555691E-3</v>
      </c>
      <c r="J70" s="10">
        <f t="shared" si="22"/>
        <v>3.8078703703703642E-3</v>
      </c>
      <c r="K70" s="10">
        <f t="shared" si="22"/>
        <v>3.7731481481481505E-3</v>
      </c>
      <c r="L70" s="10">
        <f t="shared" si="22"/>
        <v>9.8379629629628818E-4</v>
      </c>
      <c r="M70" s="10">
        <f t="shared" si="22"/>
        <v>1.7939814814814797E-3</v>
      </c>
      <c r="N70" s="10">
        <f t="shared" si="22"/>
        <v>3.518518518518518E-3</v>
      </c>
      <c r="O70" s="10">
        <f t="shared" si="22"/>
        <v>1.7245370370370383E-3</v>
      </c>
      <c r="P70" s="10">
        <f t="shared" si="22"/>
        <v>8.9120370370369961E-4</v>
      </c>
      <c r="Q70" s="10">
        <f t="shared" si="22"/>
        <v>1.7939814814814797E-3</v>
      </c>
      <c r="R70" s="10">
        <f t="shared" si="22"/>
        <v>2.8356481481481566E-3</v>
      </c>
      <c r="S70" s="10">
        <f t="shared" si="22"/>
        <v>1.9097222222222154E-3</v>
      </c>
      <c r="T70" s="10">
        <f t="shared" si="22"/>
        <v>2.5810185185185242E-3</v>
      </c>
      <c r="U70" s="10">
        <f t="shared" si="22"/>
        <v>2.9861111111111061E-3</v>
      </c>
      <c r="V70" s="10">
        <f t="shared" si="22"/>
        <v>1.2037037037037068E-3</v>
      </c>
      <c r="W70" s="10">
        <f t="shared" si="22"/>
        <v>3.8541666666666724E-3</v>
      </c>
      <c r="X70" s="10">
        <f t="shared" si="22"/>
        <v>2.8587962962962898E-3</v>
      </c>
      <c r="Y70" s="10">
        <f t="shared" si="22"/>
        <v>5.787037037036924E-4</v>
      </c>
    </row>
    <row r="71" spans="1:29" x14ac:dyDescent="0.25">
      <c r="G71" s="28"/>
      <c r="H71" s="10">
        <f t="shared" si="24"/>
        <v>3.5648148148148262E-3</v>
      </c>
      <c r="I71" s="10">
        <f t="shared" si="23"/>
        <v>2.5462962962962965E-3</v>
      </c>
      <c r="J71" s="10">
        <f t="shared" si="22"/>
        <v>7.2106481481481466E-3</v>
      </c>
      <c r="K71" s="10">
        <f t="shared" si="22"/>
        <v>3.0787037037037224E-3</v>
      </c>
      <c r="L71" s="10">
        <f t="shared" si="22"/>
        <v>1.2499999999999734E-3</v>
      </c>
      <c r="M71" s="10">
        <f t="shared" si="22"/>
        <v>8.1018518518519156E-4</v>
      </c>
      <c r="N71" s="10">
        <f t="shared" si="22"/>
        <v>2.6736111111111127E-3</v>
      </c>
      <c r="O71" s="10">
        <f>O66-N66</f>
        <v>2.6967592592592737E-3</v>
      </c>
      <c r="P71" s="10">
        <f t="shared" si="22"/>
        <v>2.5462962962962687E-3</v>
      </c>
      <c r="Q71" s="10">
        <f t="shared" si="22"/>
        <v>1.9907407407407374E-3</v>
      </c>
      <c r="R71" s="10">
        <f t="shared" si="22"/>
        <v>1.1689814814815069E-3</v>
      </c>
      <c r="S71" s="10">
        <f t="shared" si="22"/>
        <v>2.0601851851851649E-3</v>
      </c>
      <c r="T71" s="10">
        <f t="shared" si="22"/>
        <v>3.3564814814814881E-3</v>
      </c>
      <c r="U71" s="10">
        <f t="shared" si="22"/>
        <v>1.9675925925926041E-3</v>
      </c>
      <c r="V71" s="10">
        <f t="shared" si="22"/>
        <v>1.7013888888888773E-3</v>
      </c>
      <c r="W71" s="10">
        <f t="shared" si="22"/>
        <v>5.7291666666666741E-3</v>
      </c>
      <c r="X71" s="10">
        <f t="shared" si="22"/>
        <v>2.0833333333333259E-3</v>
      </c>
      <c r="Y71" s="10">
        <f t="shared" si="22"/>
        <v>6.2499999999998668E-4</v>
      </c>
    </row>
    <row r="72" spans="1:29" x14ac:dyDescent="0.25">
      <c r="G72" s="24"/>
    </row>
    <row r="73" spans="1:29" x14ac:dyDescent="0.25">
      <c r="A73" s="25">
        <v>6</v>
      </c>
      <c r="B73" s="24" t="s">
        <v>14</v>
      </c>
      <c r="C73" s="24" t="s">
        <v>97</v>
      </c>
      <c r="D73" s="28">
        <v>104</v>
      </c>
      <c r="E73" s="25" t="s">
        <v>78</v>
      </c>
      <c r="F73" s="29">
        <v>4.2326388888888893E-2</v>
      </c>
      <c r="G73" s="24"/>
      <c r="H73" s="26">
        <v>3.645833333333333E-3</v>
      </c>
      <c r="I73" s="10">
        <v>6.2847222222222228E-3</v>
      </c>
      <c r="J73" s="10">
        <v>1.0474537037037037E-2</v>
      </c>
      <c r="K73" s="10">
        <v>1.3912037037037037E-2</v>
      </c>
      <c r="L73" s="10">
        <v>1.556712962962963E-2</v>
      </c>
      <c r="M73" s="10">
        <v>1.7199074074074071E-2</v>
      </c>
      <c r="N73" s="10">
        <v>1.8634259259259257E-2</v>
      </c>
      <c r="O73" s="10">
        <v>2.0763888888888887E-2</v>
      </c>
      <c r="P73" s="10">
        <v>2.1875000000000002E-2</v>
      </c>
      <c r="Q73" s="10">
        <v>2.4594907407407409E-2</v>
      </c>
      <c r="R73" s="10">
        <v>2.568287037037037E-2</v>
      </c>
      <c r="S73" s="10">
        <v>2.7719907407407405E-2</v>
      </c>
      <c r="T73" s="10">
        <v>3.037037037037037E-2</v>
      </c>
      <c r="U73" s="10">
        <v>3.2581018518518516E-2</v>
      </c>
      <c r="V73" s="10">
        <v>3.6377314814814814E-2</v>
      </c>
      <c r="W73" s="10">
        <v>3.9375E-2</v>
      </c>
      <c r="X73" s="55">
        <v>4.1701388888888885E-2</v>
      </c>
      <c r="Y73" s="55">
        <v>4.2326388888888893E-2</v>
      </c>
      <c r="AA73" s="8" t="s">
        <v>392</v>
      </c>
      <c r="AB73" s="8">
        <v>8.85</v>
      </c>
      <c r="AC73" s="8" t="s">
        <v>429</v>
      </c>
    </row>
    <row r="74" spans="1:29" x14ac:dyDescent="0.25">
      <c r="A74" s="25"/>
      <c r="B74" s="24"/>
      <c r="C74" s="24" t="s">
        <v>52</v>
      </c>
      <c r="D74" s="28">
        <v>204</v>
      </c>
      <c r="E74" s="25" t="s">
        <v>78</v>
      </c>
      <c r="F74" s="29">
        <v>4.7569444444444442E-2</v>
      </c>
      <c r="G74" s="24"/>
      <c r="H74" s="26">
        <v>4.6030092592592588E-2</v>
      </c>
      <c r="I74" s="10">
        <v>4.9490740740740745E-2</v>
      </c>
      <c r="J74" s="10">
        <v>5.5034722222222221E-2</v>
      </c>
      <c r="K74" s="10">
        <v>5.8194444444444444E-2</v>
      </c>
      <c r="L74" s="10">
        <v>5.9201388888888894E-2</v>
      </c>
      <c r="M74" s="10">
        <v>6.1516203703703698E-2</v>
      </c>
      <c r="N74" s="10">
        <v>6.3622685185185185E-2</v>
      </c>
      <c r="O74" s="10">
        <v>6.6180555555555562E-2</v>
      </c>
      <c r="P74" s="10">
        <v>7.048611111111111E-2</v>
      </c>
      <c r="Q74" s="10">
        <v>7.2164351851851841E-2</v>
      </c>
      <c r="R74" s="10">
        <v>7.5115740740740733E-2</v>
      </c>
      <c r="S74" s="10">
        <v>7.7199074074074073E-2</v>
      </c>
      <c r="T74" s="10">
        <v>7.9224537037037038E-2</v>
      </c>
      <c r="U74" s="10">
        <v>8.217592592592593E-2</v>
      </c>
      <c r="V74" s="10">
        <v>8.3761574074074072E-2</v>
      </c>
      <c r="W74" s="10">
        <v>8.7500000000000008E-2</v>
      </c>
      <c r="X74" s="55">
        <v>8.9351851851851849E-2</v>
      </c>
      <c r="Y74" s="55">
        <v>8.9895833333333341E-2</v>
      </c>
      <c r="AA74" s="8" t="s">
        <v>444</v>
      </c>
      <c r="AB74" s="8" t="s">
        <v>456</v>
      </c>
      <c r="AC74" s="8" t="s">
        <v>445</v>
      </c>
    </row>
    <row r="75" spans="1:29" x14ac:dyDescent="0.25">
      <c r="A75" s="25"/>
      <c r="B75" s="24"/>
      <c r="C75" s="24" t="s">
        <v>161</v>
      </c>
      <c r="D75" s="28">
        <v>304</v>
      </c>
      <c r="E75" s="25" t="s">
        <v>78</v>
      </c>
      <c r="F75" s="29">
        <v>4.2152777777777782E-2</v>
      </c>
      <c r="G75" s="24"/>
      <c r="H75" s="26">
        <v>9.4270833333333345E-2</v>
      </c>
      <c r="I75" s="10">
        <v>9.7048611111111113E-2</v>
      </c>
      <c r="J75" s="10">
        <v>9.9884259259259256E-2</v>
      </c>
      <c r="K75" s="10">
        <v>0.10366898148148147</v>
      </c>
      <c r="L75" s="10">
        <v>0.10457175925925925</v>
      </c>
      <c r="M75" s="10">
        <v>0.10543981481481481</v>
      </c>
      <c r="N75" s="10">
        <v>0.10814814814814815</v>
      </c>
      <c r="O75" s="10">
        <v>0.11086805555555555</v>
      </c>
      <c r="P75" s="10">
        <v>0.11368055555555556</v>
      </c>
      <c r="Q75" s="10">
        <v>0.11478009259259259</v>
      </c>
      <c r="R75" s="10">
        <v>0.11597222222222221</v>
      </c>
      <c r="S75" s="10">
        <v>0.11805555555555557</v>
      </c>
      <c r="T75" s="10">
        <v>0.12146990740740742</v>
      </c>
      <c r="U75" s="10">
        <v>0.1232638888888889</v>
      </c>
      <c r="V75" s="10">
        <v>0.1260300925925926</v>
      </c>
      <c r="W75" s="10">
        <v>0.12944444444444445</v>
      </c>
      <c r="X75" s="55">
        <v>0.1315162037037037</v>
      </c>
      <c r="Y75" s="55">
        <v>0.13204861111111113</v>
      </c>
      <c r="AA75" s="8" t="s">
        <v>393</v>
      </c>
      <c r="AB75" s="8" t="s">
        <v>457</v>
      </c>
      <c r="AC75" s="8" t="s">
        <v>430</v>
      </c>
    </row>
    <row r="76" spans="1:29" x14ac:dyDescent="0.25">
      <c r="A76" s="25"/>
      <c r="B76" s="24"/>
      <c r="C76" s="24" t="s">
        <v>69</v>
      </c>
      <c r="D76" s="28">
        <v>404</v>
      </c>
      <c r="E76" s="25" t="s">
        <v>78</v>
      </c>
      <c r="F76" s="29">
        <v>5.0798611111111114E-2</v>
      </c>
      <c r="G76" s="24"/>
      <c r="H76" s="26">
        <v>0.14097222222222222</v>
      </c>
      <c r="I76" s="10">
        <v>0.14427083333333332</v>
      </c>
      <c r="J76" s="10">
        <v>0.14980324074074072</v>
      </c>
      <c r="K76" s="10">
        <v>0.15391203703703704</v>
      </c>
      <c r="L76" s="10">
        <v>0.1545138888888889</v>
      </c>
      <c r="M76" s="10">
        <v>0.15589120370370371</v>
      </c>
      <c r="N76" s="10">
        <v>0.15763888888888888</v>
      </c>
      <c r="O76" s="10">
        <v>0.16083333333333333</v>
      </c>
      <c r="P76" s="10">
        <v>0.16180555555555556</v>
      </c>
      <c r="Q76" s="10">
        <v>0.1640625</v>
      </c>
      <c r="R76" s="10">
        <v>0.16714120370370369</v>
      </c>
      <c r="S76" s="10">
        <v>0.16949074074074075</v>
      </c>
      <c r="T76" s="10">
        <v>0.17280092592592591</v>
      </c>
      <c r="U76" s="10">
        <v>0.17519675925925926</v>
      </c>
      <c r="V76" s="10">
        <v>0.17650462962962962</v>
      </c>
      <c r="W76" s="10">
        <v>0.18028935185185183</v>
      </c>
      <c r="X76" s="55">
        <v>0.18225694444444443</v>
      </c>
      <c r="Y76" s="55">
        <v>0.18284722222222224</v>
      </c>
      <c r="AA76" s="8" t="s">
        <v>394</v>
      </c>
      <c r="AB76" s="8" t="s">
        <v>458</v>
      </c>
      <c r="AC76" s="8" t="s">
        <v>431</v>
      </c>
    </row>
    <row r="77" spans="1:29" x14ac:dyDescent="0.25">
      <c r="A77" s="25"/>
      <c r="B77" s="24"/>
      <c r="C77" s="24"/>
      <c r="D77" s="28"/>
      <c r="E77" s="28"/>
      <c r="F77" s="28"/>
      <c r="H77" s="25"/>
    </row>
    <row r="78" spans="1:29" x14ac:dyDescent="0.25">
      <c r="H78" s="10">
        <f>H73</f>
        <v>3.645833333333333E-3</v>
      </c>
      <c r="I78" s="10">
        <f>I73-H73</f>
        <v>2.6388888888888898E-3</v>
      </c>
      <c r="J78" s="10">
        <f t="shared" ref="J78:Y81" si="25">J73-I73</f>
        <v>4.1898148148148146E-3</v>
      </c>
      <c r="K78" s="10">
        <f t="shared" si="25"/>
        <v>3.4374999999999996E-3</v>
      </c>
      <c r="L78" s="10">
        <f t="shared" si="25"/>
        <v>1.6550925925925934E-3</v>
      </c>
      <c r="M78" s="10">
        <f t="shared" si="25"/>
        <v>1.6319444444444411E-3</v>
      </c>
      <c r="N78" s="10">
        <f t="shared" si="25"/>
        <v>1.4351851851851852E-3</v>
      </c>
      <c r="O78" s="10">
        <f t="shared" si="25"/>
        <v>2.1296296296296306E-3</v>
      </c>
      <c r="P78" s="10">
        <f t="shared" si="25"/>
        <v>1.1111111111111148E-3</v>
      </c>
      <c r="Q78" s="10">
        <f t="shared" si="25"/>
        <v>2.719907407407407E-3</v>
      </c>
      <c r="R78" s="10">
        <f t="shared" si="25"/>
        <v>1.0879629629629607E-3</v>
      </c>
      <c r="S78" s="10">
        <f t="shared" si="25"/>
        <v>2.0370370370370351E-3</v>
      </c>
      <c r="T78" s="10">
        <f t="shared" si="25"/>
        <v>2.6504629629629656E-3</v>
      </c>
      <c r="U78" s="10">
        <f t="shared" si="25"/>
        <v>2.2106481481481456E-3</v>
      </c>
      <c r="V78" s="10">
        <f t="shared" si="25"/>
        <v>3.7962962962962976E-3</v>
      </c>
      <c r="W78" s="10">
        <f t="shared" si="25"/>
        <v>2.9976851851851866E-3</v>
      </c>
      <c r="X78" s="10">
        <f t="shared" si="25"/>
        <v>2.3263888888888848E-3</v>
      </c>
      <c r="Y78" s="10">
        <f t="shared" si="25"/>
        <v>6.2500000000000749E-4</v>
      </c>
    </row>
    <row r="79" spans="1:29" x14ac:dyDescent="0.25">
      <c r="H79" s="10">
        <f>H74-Y73</f>
        <v>3.7037037037036952E-3</v>
      </c>
      <c r="I79" s="10">
        <f t="shared" ref="I79:X81" si="26">I74-H74</f>
        <v>3.4606481481481571E-3</v>
      </c>
      <c r="J79" s="10">
        <f t="shared" si="26"/>
        <v>5.5439814814814761E-3</v>
      </c>
      <c r="K79" s="10">
        <f t="shared" si="26"/>
        <v>3.1597222222222235E-3</v>
      </c>
      <c r="L79" s="10">
        <f t="shared" si="26"/>
        <v>1.0069444444444492E-3</v>
      </c>
      <c r="M79" s="10">
        <f t="shared" si="26"/>
        <v>2.3148148148148043E-3</v>
      </c>
      <c r="N79" s="10">
        <f t="shared" si="26"/>
        <v>2.106481481481487E-3</v>
      </c>
      <c r="O79" s="10">
        <f t="shared" si="26"/>
        <v>2.557870370370377E-3</v>
      </c>
      <c r="P79" s="10">
        <f t="shared" si="26"/>
        <v>4.3055555555555486E-3</v>
      </c>
      <c r="Q79" s="10">
        <f t="shared" si="26"/>
        <v>1.6782407407407302E-3</v>
      </c>
      <c r="R79" s="10">
        <f t="shared" si="26"/>
        <v>2.9513888888888923E-3</v>
      </c>
      <c r="S79" s="10">
        <f t="shared" si="26"/>
        <v>2.0833333333333398E-3</v>
      </c>
      <c r="T79" s="10">
        <f t="shared" si="26"/>
        <v>2.025462962962965E-3</v>
      </c>
      <c r="U79" s="10">
        <f t="shared" si="26"/>
        <v>2.9513888888888923E-3</v>
      </c>
      <c r="V79" s="10">
        <f t="shared" si="26"/>
        <v>1.5856481481481416E-3</v>
      </c>
      <c r="W79" s="10">
        <f t="shared" si="26"/>
        <v>3.7384259259259367E-3</v>
      </c>
      <c r="X79" s="10">
        <f t="shared" si="26"/>
        <v>1.8518518518518406E-3</v>
      </c>
      <c r="Y79" s="10">
        <f t="shared" si="25"/>
        <v>5.439814814814925E-4</v>
      </c>
    </row>
    <row r="80" spans="1:29" x14ac:dyDescent="0.25">
      <c r="H80" s="10">
        <f t="shared" ref="H80:H81" si="27">H75-Y74</f>
        <v>4.3750000000000039E-3</v>
      </c>
      <c r="I80" s="10">
        <f t="shared" si="26"/>
        <v>2.7777777777777679E-3</v>
      </c>
      <c r="J80" s="10">
        <f t="shared" si="25"/>
        <v>2.8356481481481427E-3</v>
      </c>
      <c r="K80" s="10">
        <f t="shared" si="25"/>
        <v>3.7847222222222171E-3</v>
      </c>
      <c r="L80" s="10">
        <f t="shared" si="25"/>
        <v>9.0277777777778012E-4</v>
      </c>
      <c r="M80" s="10">
        <f t="shared" si="25"/>
        <v>8.6805555555555247E-4</v>
      </c>
      <c r="N80" s="10">
        <f t="shared" si="25"/>
        <v>2.7083333333333404E-3</v>
      </c>
      <c r="O80" s="10">
        <f t="shared" si="25"/>
        <v>2.719907407407407E-3</v>
      </c>
      <c r="P80" s="10">
        <f t="shared" si="25"/>
        <v>2.8125000000000094E-3</v>
      </c>
      <c r="Q80" s="10">
        <f t="shared" si="25"/>
        <v>1.0995370370370239E-3</v>
      </c>
      <c r="R80" s="10">
        <f t="shared" si="25"/>
        <v>1.1921296296296263E-3</v>
      </c>
      <c r="S80" s="10">
        <f t="shared" si="25"/>
        <v>2.0833333333333537E-3</v>
      </c>
      <c r="T80" s="10">
        <f t="shared" si="25"/>
        <v>3.414351851851849E-3</v>
      </c>
      <c r="U80" s="10">
        <f t="shared" si="25"/>
        <v>1.7939814814814797E-3</v>
      </c>
      <c r="V80" s="10">
        <f t="shared" si="25"/>
        <v>2.7662037037037013E-3</v>
      </c>
      <c r="W80" s="10">
        <f t="shared" si="25"/>
        <v>3.414351851851849E-3</v>
      </c>
      <c r="X80" s="10">
        <f t="shared" si="25"/>
        <v>2.0717592592592593E-3</v>
      </c>
      <c r="Y80" s="10">
        <f t="shared" si="25"/>
        <v>5.3240740740742587E-4</v>
      </c>
    </row>
    <row r="81" spans="1:29" x14ac:dyDescent="0.25">
      <c r="H81" s="10">
        <f t="shared" si="27"/>
        <v>8.9236111111110905E-3</v>
      </c>
      <c r="I81" s="10">
        <f t="shared" si="26"/>
        <v>3.2986111111110994E-3</v>
      </c>
      <c r="J81" s="10">
        <f t="shared" si="25"/>
        <v>5.5324074074074026E-3</v>
      </c>
      <c r="K81" s="10">
        <f t="shared" si="25"/>
        <v>4.1087962962963187E-3</v>
      </c>
      <c r="L81" s="10">
        <f t="shared" si="25"/>
        <v>6.0185185185185341E-4</v>
      </c>
      <c r="M81" s="10">
        <f t="shared" si="25"/>
        <v>1.3773148148148173E-3</v>
      </c>
      <c r="N81" s="10">
        <f t="shared" si="25"/>
        <v>1.7476851851851716E-3</v>
      </c>
      <c r="O81" s="10">
        <f t="shared" si="25"/>
        <v>3.1944444444444442E-3</v>
      </c>
      <c r="P81" s="10">
        <f t="shared" si="25"/>
        <v>9.7222222222223542E-4</v>
      </c>
      <c r="Q81" s="10">
        <f t="shared" si="25"/>
        <v>2.2569444444444364E-3</v>
      </c>
      <c r="R81" s="10">
        <f t="shared" si="25"/>
        <v>3.0787037037036946E-3</v>
      </c>
      <c r="S81" s="10">
        <f t="shared" si="25"/>
        <v>2.3495370370370527E-3</v>
      </c>
      <c r="T81" s="10">
        <f t="shared" si="25"/>
        <v>3.310185185185166E-3</v>
      </c>
      <c r="U81" s="10">
        <f t="shared" si="25"/>
        <v>2.395833333333347E-3</v>
      </c>
      <c r="V81" s="10">
        <f t="shared" si="25"/>
        <v>1.307870370370362E-3</v>
      </c>
      <c r="W81" s="10">
        <f t="shared" si="25"/>
        <v>3.7847222222222032E-3</v>
      </c>
      <c r="X81" s="10">
        <f t="shared" si="25"/>
        <v>1.9675925925926041E-3</v>
      </c>
      <c r="Y81" s="10">
        <f t="shared" si="25"/>
        <v>5.9027777777781454E-4</v>
      </c>
    </row>
    <row r="83" spans="1:29" x14ac:dyDescent="0.25">
      <c r="A83" s="25">
        <v>7</v>
      </c>
      <c r="B83" s="24" t="s">
        <v>13</v>
      </c>
      <c r="C83" s="24" t="s">
        <v>69</v>
      </c>
      <c r="D83" s="28">
        <v>107</v>
      </c>
      <c r="E83" s="25" t="s">
        <v>78</v>
      </c>
      <c r="F83" s="29">
        <v>4.8946759259259259E-2</v>
      </c>
      <c r="H83" s="26">
        <v>6.215277777777777E-3</v>
      </c>
      <c r="I83" s="10">
        <v>9.1782407407407403E-3</v>
      </c>
      <c r="J83" s="10">
        <v>1.383101851851852E-2</v>
      </c>
      <c r="K83" s="10">
        <v>1.6736111111111111E-2</v>
      </c>
      <c r="L83" s="10">
        <v>1.8749999999999999E-2</v>
      </c>
      <c r="M83" s="10">
        <v>2.056712962962963E-2</v>
      </c>
      <c r="N83" s="10">
        <v>2.0810185185185185E-2</v>
      </c>
      <c r="O83" s="10">
        <v>2.5462962962962962E-2</v>
      </c>
      <c r="P83" s="10">
        <v>2.6620370370370374E-2</v>
      </c>
      <c r="Q83" s="10">
        <v>2.9861111111111113E-2</v>
      </c>
      <c r="R83" s="10">
        <v>3.1203703703703702E-2</v>
      </c>
      <c r="S83" s="10">
        <v>3.3692129629629627E-2</v>
      </c>
      <c r="T83" s="10">
        <v>3.5763888888888887E-2</v>
      </c>
      <c r="U83" s="10">
        <v>3.8854166666666669E-2</v>
      </c>
      <c r="V83" s="10">
        <v>4.3229166666666673E-2</v>
      </c>
      <c r="W83" s="10">
        <v>4.6678240740740735E-2</v>
      </c>
      <c r="X83" s="10">
        <v>4.8414351851851854E-2</v>
      </c>
      <c r="Y83" s="55">
        <v>4.8946759259259259E-2</v>
      </c>
      <c r="AA83" s="8" t="s">
        <v>395</v>
      </c>
      <c r="AB83" s="8">
        <v>8.76</v>
      </c>
      <c r="AC83" s="8" t="s">
        <v>432</v>
      </c>
    </row>
    <row r="84" spans="1:29" x14ac:dyDescent="0.25">
      <c r="A84" s="25"/>
      <c r="B84" s="24"/>
      <c r="C84" s="24" t="s">
        <v>136</v>
      </c>
      <c r="D84" s="28">
        <v>207</v>
      </c>
      <c r="E84" s="25" t="s">
        <v>78</v>
      </c>
      <c r="F84" s="29">
        <v>4.9027777777777781E-2</v>
      </c>
      <c r="H84" s="26">
        <v>5.3124999999999999E-2</v>
      </c>
      <c r="I84" s="10">
        <v>5.5729166666666663E-2</v>
      </c>
      <c r="J84" s="10">
        <v>5.9895833333333336E-2</v>
      </c>
      <c r="K84" s="10">
        <v>6.3287037037037031E-2</v>
      </c>
      <c r="L84" s="10">
        <v>6.400462962962962E-2</v>
      </c>
      <c r="M84" s="10">
        <v>6.7013888888888887E-2</v>
      </c>
      <c r="N84" s="10">
        <v>6.9097222222222213E-2</v>
      </c>
      <c r="O84" s="10">
        <v>7.210648148148148E-2</v>
      </c>
      <c r="P84" s="10">
        <v>7.4884259259259262E-2</v>
      </c>
      <c r="Q84" s="10">
        <v>7.6273148148148159E-2</v>
      </c>
      <c r="R84" s="10">
        <v>7.9699074074074075E-2</v>
      </c>
      <c r="S84" s="10">
        <v>8.1944444444444445E-2</v>
      </c>
      <c r="T84" s="10">
        <v>8.5555555555555551E-2</v>
      </c>
      <c r="U84" s="10">
        <v>8.9224537037037033E-2</v>
      </c>
      <c r="V84" s="10">
        <v>9.0740740740740733E-2</v>
      </c>
      <c r="W84" s="10">
        <v>9.5520833333333333E-2</v>
      </c>
      <c r="X84" s="10">
        <v>9.7407407407407401E-2</v>
      </c>
      <c r="Y84" s="55">
        <v>9.7974537037037041E-2</v>
      </c>
      <c r="AA84" s="8" t="s">
        <v>396</v>
      </c>
      <c r="AB84" s="8" t="s">
        <v>459</v>
      </c>
      <c r="AC84" s="8" t="s">
        <v>433</v>
      </c>
    </row>
    <row r="85" spans="1:29" x14ac:dyDescent="0.25">
      <c r="A85" s="25"/>
      <c r="B85" s="24"/>
      <c r="C85" s="24" t="s">
        <v>93</v>
      </c>
      <c r="D85" s="28">
        <v>307</v>
      </c>
      <c r="E85" s="25" t="s">
        <v>78</v>
      </c>
      <c r="F85" s="29">
        <v>4.2453703703703709E-2</v>
      </c>
      <c r="H85" s="26">
        <v>0.10179398148148149</v>
      </c>
      <c r="I85" s="10">
        <v>0.10452546296296296</v>
      </c>
      <c r="J85" s="10">
        <v>0.10862268518518518</v>
      </c>
      <c r="K85" s="10">
        <v>0.11234953703703704</v>
      </c>
      <c r="L85" s="10">
        <v>0.11354166666666667</v>
      </c>
      <c r="M85" s="10">
        <v>0.11435185185185186</v>
      </c>
      <c r="N85" s="10">
        <v>0.11670138888888888</v>
      </c>
      <c r="O85" s="10">
        <v>0.11890046296296297</v>
      </c>
      <c r="P85" s="10">
        <v>0.12128472222222221</v>
      </c>
      <c r="Q85" s="10">
        <v>0.12306712962962962</v>
      </c>
      <c r="R85" s="10">
        <v>0.12413194444444443</v>
      </c>
      <c r="S85" s="10">
        <v>0.12557870370370369</v>
      </c>
      <c r="T85" s="10">
        <v>0.12856481481481483</v>
      </c>
      <c r="U85" s="10">
        <v>0.13078703703703703</v>
      </c>
      <c r="V85" s="10">
        <v>0.13460648148148149</v>
      </c>
      <c r="W85" s="10">
        <v>0.1380787037037037</v>
      </c>
      <c r="X85" s="10">
        <v>0.13987268518518517</v>
      </c>
      <c r="Y85" s="55">
        <v>0.14042824074074076</v>
      </c>
      <c r="AA85" s="8" t="s">
        <v>397</v>
      </c>
      <c r="AB85" s="8" t="s">
        <v>460</v>
      </c>
      <c r="AC85" s="8" t="s">
        <v>434</v>
      </c>
    </row>
    <row r="86" spans="1:29" x14ac:dyDescent="0.25">
      <c r="A86" s="25"/>
      <c r="B86" s="24"/>
      <c r="C86" s="24" t="s">
        <v>71</v>
      </c>
      <c r="D86" s="28">
        <v>407</v>
      </c>
      <c r="E86" s="25" t="s">
        <v>78</v>
      </c>
      <c r="F86" s="29">
        <v>4.4016203703703703E-2</v>
      </c>
      <c r="H86" s="26">
        <v>0.14375000000000002</v>
      </c>
      <c r="I86" s="10">
        <v>0.14635416666666667</v>
      </c>
      <c r="J86" s="10">
        <v>0.15121527777777777</v>
      </c>
      <c r="K86" s="10">
        <v>0.15399305555555556</v>
      </c>
      <c r="L86" s="10">
        <v>0.15468750000000001</v>
      </c>
      <c r="M86" s="10">
        <v>0.15594907407407407</v>
      </c>
      <c r="N86" s="10">
        <v>0.15778935185185186</v>
      </c>
      <c r="O86" s="10">
        <v>0.16248842592592591</v>
      </c>
      <c r="P86" s="10">
        <v>0.16359953703703703</v>
      </c>
      <c r="Q86" s="10">
        <v>0.16545138888888888</v>
      </c>
      <c r="R86" s="10">
        <v>0.16846064814814812</v>
      </c>
      <c r="S86" s="10">
        <v>0.17210648148148147</v>
      </c>
      <c r="T86" s="10">
        <v>0.17473379629629629</v>
      </c>
      <c r="U86" s="10">
        <v>0.17700231481481479</v>
      </c>
      <c r="V86" s="10">
        <v>0.17800925925925926</v>
      </c>
      <c r="W86" s="10">
        <v>0.18206018518518519</v>
      </c>
      <c r="X86" s="10">
        <v>0.18391203703703704</v>
      </c>
      <c r="Y86" s="55">
        <v>0.18444444444444447</v>
      </c>
      <c r="AA86" s="8" t="s">
        <v>398</v>
      </c>
      <c r="AB86" s="8" t="s">
        <v>461</v>
      </c>
      <c r="AC86" s="8" t="s">
        <v>435</v>
      </c>
    </row>
    <row r="87" spans="1:29" x14ac:dyDescent="0.25">
      <c r="A87" s="25"/>
      <c r="B87" s="24"/>
      <c r="C87" s="24"/>
      <c r="D87" s="28"/>
      <c r="E87" s="28"/>
      <c r="F87" s="28"/>
    </row>
    <row r="88" spans="1:29" x14ac:dyDescent="0.25">
      <c r="H88" s="10">
        <f>H83</f>
        <v>6.215277777777777E-3</v>
      </c>
      <c r="I88" s="10">
        <f>I83-H83</f>
        <v>2.9629629629629632E-3</v>
      </c>
      <c r="J88" s="10">
        <f t="shared" ref="J88:Y91" si="28">J83-I83</f>
        <v>4.65277777777778E-3</v>
      </c>
      <c r="K88" s="10">
        <f t="shared" si="28"/>
        <v>2.9050925925925911E-3</v>
      </c>
      <c r="L88" s="10">
        <f t="shared" si="28"/>
        <v>2.013888888888888E-3</v>
      </c>
      <c r="M88" s="10">
        <f t="shared" si="28"/>
        <v>1.8171296296296303E-3</v>
      </c>
      <c r="N88" s="10">
        <f t="shared" si="28"/>
        <v>2.4305555555555539E-4</v>
      </c>
      <c r="O88" s="10">
        <f t="shared" si="28"/>
        <v>4.6527777777777765E-3</v>
      </c>
      <c r="P88" s="10">
        <f t="shared" si="28"/>
        <v>1.1574074074074125E-3</v>
      </c>
      <c r="Q88" s="10">
        <f t="shared" si="28"/>
        <v>3.2407407407407385E-3</v>
      </c>
      <c r="R88" s="10">
        <f t="shared" si="28"/>
        <v>1.3425925925925897E-3</v>
      </c>
      <c r="S88" s="10">
        <f t="shared" si="28"/>
        <v>2.4884259259259252E-3</v>
      </c>
      <c r="T88" s="10">
        <f t="shared" si="28"/>
        <v>2.0717592592592593E-3</v>
      </c>
      <c r="U88" s="10">
        <f t="shared" si="28"/>
        <v>3.0902777777777821E-3</v>
      </c>
      <c r="V88" s="10">
        <f t="shared" si="28"/>
        <v>4.3750000000000039E-3</v>
      </c>
      <c r="W88" s="10">
        <f t="shared" si="28"/>
        <v>3.4490740740740627E-3</v>
      </c>
      <c r="X88" s="10">
        <f t="shared" si="28"/>
        <v>1.7361111111111188E-3</v>
      </c>
      <c r="Y88" s="10">
        <f t="shared" si="28"/>
        <v>5.3240740740740505E-4</v>
      </c>
    </row>
    <row r="89" spans="1:29" x14ac:dyDescent="0.25">
      <c r="H89" s="10">
        <f>H84-Y83</f>
        <v>4.1782407407407393E-3</v>
      </c>
      <c r="I89" s="10">
        <f t="shared" ref="I89:X91" si="29">I84-H84</f>
        <v>2.6041666666666644E-3</v>
      </c>
      <c r="J89" s="10">
        <f t="shared" si="29"/>
        <v>4.1666666666666727E-3</v>
      </c>
      <c r="K89" s="10">
        <f t="shared" si="29"/>
        <v>3.3912037037036949E-3</v>
      </c>
      <c r="L89" s="10">
        <f t="shared" si="29"/>
        <v>7.1759259259258912E-4</v>
      </c>
      <c r="M89" s="10">
        <f t="shared" si="29"/>
        <v>3.0092592592592671E-3</v>
      </c>
      <c r="N89" s="10">
        <f t="shared" si="29"/>
        <v>2.0833333333333259E-3</v>
      </c>
      <c r="O89" s="10">
        <f t="shared" si="29"/>
        <v>3.0092592592592671E-3</v>
      </c>
      <c r="P89" s="10">
        <f t="shared" si="29"/>
        <v>2.7777777777777818E-3</v>
      </c>
      <c r="Q89" s="10">
        <f t="shared" si="29"/>
        <v>1.3888888888888978E-3</v>
      </c>
      <c r="R89" s="10">
        <f t="shared" si="29"/>
        <v>3.4259259259259156E-3</v>
      </c>
      <c r="S89" s="10">
        <f t="shared" si="29"/>
        <v>2.2453703703703698E-3</v>
      </c>
      <c r="T89" s="10">
        <f t="shared" si="29"/>
        <v>3.6111111111111066E-3</v>
      </c>
      <c r="U89" s="10">
        <f t="shared" si="29"/>
        <v>3.6689814814814814E-3</v>
      </c>
      <c r="V89" s="10">
        <f t="shared" si="29"/>
        <v>1.5162037037037002E-3</v>
      </c>
      <c r="W89" s="10">
        <f t="shared" si="29"/>
        <v>4.7800925925925997E-3</v>
      </c>
      <c r="X89" s="10">
        <f t="shared" si="29"/>
        <v>1.8865740740740683E-3</v>
      </c>
      <c r="Y89" s="10">
        <f t="shared" si="28"/>
        <v>5.6712962962963964E-4</v>
      </c>
    </row>
    <row r="90" spans="1:29" x14ac:dyDescent="0.25">
      <c r="H90" s="10">
        <f t="shared" ref="H90:H91" si="30">H85-Y84</f>
        <v>3.8194444444444448E-3</v>
      </c>
      <c r="I90" s="10">
        <f t="shared" si="29"/>
        <v>2.7314814814814736E-3</v>
      </c>
      <c r="J90" s="10">
        <f t="shared" si="28"/>
        <v>4.0972222222222243E-3</v>
      </c>
      <c r="K90" s="10">
        <f t="shared" si="28"/>
        <v>3.7268518518518562E-3</v>
      </c>
      <c r="L90" s="10">
        <f t="shared" si="28"/>
        <v>1.1921296296296263E-3</v>
      </c>
      <c r="M90" s="10">
        <f t="shared" si="28"/>
        <v>8.1018518518519156E-4</v>
      </c>
      <c r="N90" s="10">
        <f t="shared" si="28"/>
        <v>2.349537037037025E-3</v>
      </c>
      <c r="O90" s="10">
        <f t="shared" si="28"/>
        <v>2.1990740740740894E-3</v>
      </c>
      <c r="P90" s="10">
        <f t="shared" si="28"/>
        <v>2.3842592592592388E-3</v>
      </c>
      <c r="Q90" s="10">
        <f t="shared" si="28"/>
        <v>1.7824074074074131E-3</v>
      </c>
      <c r="R90" s="10">
        <f t="shared" si="28"/>
        <v>1.0648148148148101E-3</v>
      </c>
      <c r="S90" s="10">
        <f t="shared" si="28"/>
        <v>1.4467592592592587E-3</v>
      </c>
      <c r="T90" s="10">
        <f t="shared" si="28"/>
        <v>2.9861111111111338E-3</v>
      </c>
      <c r="U90" s="10">
        <f t="shared" si="28"/>
        <v>2.2222222222222088E-3</v>
      </c>
      <c r="V90" s="10">
        <f t="shared" si="28"/>
        <v>3.8194444444444586E-3</v>
      </c>
      <c r="W90" s="10">
        <f t="shared" si="28"/>
        <v>3.4722222222222099E-3</v>
      </c>
      <c r="X90" s="10">
        <f t="shared" si="28"/>
        <v>1.7939814814814659E-3</v>
      </c>
      <c r="Y90" s="10">
        <f t="shared" si="28"/>
        <v>5.5555555555558689E-4</v>
      </c>
    </row>
    <row r="91" spans="1:29" x14ac:dyDescent="0.25">
      <c r="H91" s="10">
        <f t="shared" si="30"/>
        <v>3.3217592592592604E-3</v>
      </c>
      <c r="I91" s="10">
        <f t="shared" si="29"/>
        <v>2.6041666666666574E-3</v>
      </c>
      <c r="J91" s="10">
        <f t="shared" si="28"/>
        <v>4.8611111111110938E-3</v>
      </c>
      <c r="K91" s="10">
        <f t="shared" si="28"/>
        <v>2.7777777777777957E-3</v>
      </c>
      <c r="L91" s="10">
        <f t="shared" si="28"/>
        <v>6.9444444444444198E-4</v>
      </c>
      <c r="M91" s="10">
        <f t="shared" si="28"/>
        <v>1.2615740740740677E-3</v>
      </c>
      <c r="N91" s="10">
        <f t="shared" si="28"/>
        <v>1.8402777777777879E-3</v>
      </c>
      <c r="O91" s="10">
        <f t="shared" si="28"/>
        <v>4.69907407407405E-3</v>
      </c>
      <c r="P91" s="10">
        <f t="shared" si="28"/>
        <v>1.1111111111111183E-3</v>
      </c>
      <c r="Q91" s="10">
        <f t="shared" si="28"/>
        <v>1.8518518518518545E-3</v>
      </c>
      <c r="R91" s="10">
        <f t="shared" si="28"/>
        <v>3.0092592592592393E-3</v>
      </c>
      <c r="S91" s="10">
        <f t="shared" si="28"/>
        <v>3.6458333333333481E-3</v>
      </c>
      <c r="T91" s="10">
        <f t="shared" si="28"/>
        <v>2.6273148148148184E-3</v>
      </c>
      <c r="U91" s="10">
        <f t="shared" si="28"/>
        <v>2.2685185185185031E-3</v>
      </c>
      <c r="V91" s="10">
        <f t="shared" si="28"/>
        <v>1.0069444444444631E-3</v>
      </c>
      <c r="W91" s="10">
        <f t="shared" si="28"/>
        <v>4.05092592592593E-3</v>
      </c>
      <c r="X91" s="10">
        <f t="shared" si="28"/>
        <v>1.8518518518518545E-3</v>
      </c>
      <c r="Y91" s="10">
        <f t="shared" si="28"/>
        <v>5.3240740740742587E-4</v>
      </c>
    </row>
    <row r="93" spans="1:29" x14ac:dyDescent="0.25">
      <c r="A93" s="25">
        <v>8</v>
      </c>
      <c r="B93" s="24" t="s">
        <v>18</v>
      </c>
      <c r="C93" s="24" t="s">
        <v>115</v>
      </c>
      <c r="D93" s="28">
        <v>106</v>
      </c>
      <c r="E93" s="28" t="s">
        <v>169</v>
      </c>
      <c r="F93" s="29">
        <v>5.0416666666666665E-2</v>
      </c>
      <c r="H93" s="10">
        <v>3.8773148148148143E-3</v>
      </c>
      <c r="I93" s="10">
        <v>7.8125E-3</v>
      </c>
      <c r="J93" s="10">
        <v>1.0636574074074074E-2</v>
      </c>
      <c r="K93" s="10">
        <v>1.8229166666666668E-2</v>
      </c>
      <c r="L93" s="10">
        <v>1.9398148148148147E-2</v>
      </c>
      <c r="M93" s="10">
        <v>2.0543981481481479E-2</v>
      </c>
      <c r="N93" s="10">
        <v>2.2326388888888885E-2</v>
      </c>
      <c r="O93" s="10">
        <v>2.6030092592592594E-2</v>
      </c>
      <c r="P93" s="10">
        <v>2.7256944444444445E-2</v>
      </c>
      <c r="Q93" s="10">
        <v>2.9456018518518517E-2</v>
      </c>
      <c r="R93" s="10">
        <v>3.1979166666666663E-2</v>
      </c>
      <c r="S93" s="10">
        <v>3.4722222222222224E-2</v>
      </c>
      <c r="T93" s="10">
        <v>3.8368055555555551E-2</v>
      </c>
      <c r="U93" s="10">
        <v>4.0740740740740737E-2</v>
      </c>
      <c r="V93" s="10">
        <v>4.3750000000000004E-2</v>
      </c>
      <c r="W93" s="10">
        <v>4.7962962962962964E-2</v>
      </c>
      <c r="X93" s="10">
        <v>4.9837962962962966E-2</v>
      </c>
      <c r="Y93" s="55">
        <v>5.0416666666666665E-2</v>
      </c>
      <c r="AA93" s="8" t="s">
        <v>399</v>
      </c>
      <c r="AB93" s="8">
        <v>8.4450000000000003</v>
      </c>
      <c r="AC93" s="8" t="s">
        <v>436</v>
      </c>
    </row>
    <row r="94" spans="1:29" x14ac:dyDescent="0.25">
      <c r="A94" s="25"/>
      <c r="B94" s="24"/>
      <c r="C94" s="24" t="s">
        <v>172</v>
      </c>
      <c r="D94" s="28">
        <v>206</v>
      </c>
      <c r="E94" s="25" t="s">
        <v>78</v>
      </c>
      <c r="F94" s="29">
        <v>5.1145833333333335E-2</v>
      </c>
      <c r="H94" s="10">
        <v>5.4791666666666662E-2</v>
      </c>
      <c r="I94" s="10">
        <v>5.7754629629629628E-2</v>
      </c>
      <c r="J94" s="10">
        <v>6.3136574074074081E-2</v>
      </c>
      <c r="K94" s="10">
        <v>6.7395833333333335E-2</v>
      </c>
      <c r="L94" s="10">
        <v>6.9270833333333337E-2</v>
      </c>
      <c r="M94" s="10">
        <v>7.1689814814814817E-2</v>
      </c>
      <c r="N94" s="10">
        <v>7.239583333333334E-2</v>
      </c>
      <c r="O94" s="10">
        <v>7.5856481481481483E-2</v>
      </c>
      <c r="P94" s="10">
        <v>7.7083333333333337E-2</v>
      </c>
      <c r="Q94" s="10">
        <v>8.0324074074074062E-2</v>
      </c>
      <c r="R94" s="10">
        <v>8.1585648148148157E-2</v>
      </c>
      <c r="S94" s="10">
        <v>8.3622685185185189E-2</v>
      </c>
      <c r="T94" s="10">
        <v>8.6527777777777773E-2</v>
      </c>
      <c r="U94" s="10">
        <v>8.9155092592592591E-2</v>
      </c>
      <c r="V94" s="10">
        <v>9.5787037037037046E-2</v>
      </c>
      <c r="W94" s="10">
        <v>9.8993055555555556E-2</v>
      </c>
      <c r="X94" s="10">
        <v>0.1009375</v>
      </c>
      <c r="Y94" s="55">
        <v>0.1015625</v>
      </c>
      <c r="AA94" s="8" t="s">
        <v>400</v>
      </c>
      <c r="AB94" s="8" t="s">
        <v>462</v>
      </c>
      <c r="AC94" s="8" t="s">
        <v>437</v>
      </c>
    </row>
    <row r="95" spans="1:29" x14ac:dyDescent="0.25">
      <c r="A95" s="25"/>
      <c r="B95" s="24"/>
      <c r="C95" s="24" t="s">
        <v>127</v>
      </c>
      <c r="D95" s="28">
        <v>306</v>
      </c>
      <c r="E95" s="25" t="s">
        <v>78</v>
      </c>
      <c r="F95" s="29">
        <v>4.6875E-2</v>
      </c>
      <c r="H95" s="10">
        <v>0.10509259259259258</v>
      </c>
      <c r="I95" s="10">
        <v>0.10847222222222223</v>
      </c>
      <c r="J95" s="10">
        <v>0.11392361111111111</v>
      </c>
      <c r="K95" s="10">
        <v>0.11707175925925926</v>
      </c>
      <c r="L95" s="10">
        <v>0.11811342592592593</v>
      </c>
      <c r="M95" s="10">
        <v>0.12158564814814815</v>
      </c>
      <c r="N95" s="10">
        <v>0.12343749999999999</v>
      </c>
      <c r="O95" s="10">
        <v>0.12685185185185185</v>
      </c>
      <c r="P95" s="10">
        <v>0.12891203703703705</v>
      </c>
      <c r="Q95" s="10">
        <v>0.13043981481481481</v>
      </c>
      <c r="R95" s="10">
        <v>0.13277777777777777</v>
      </c>
      <c r="S95" s="10">
        <v>0.13520833333333335</v>
      </c>
      <c r="T95" s="10">
        <v>0.13719907407407408</v>
      </c>
      <c r="U95" s="10">
        <v>0.1404050925925926</v>
      </c>
      <c r="V95" s="10">
        <v>0.14178240740740741</v>
      </c>
      <c r="W95" s="10">
        <v>0.14560185185185184</v>
      </c>
      <c r="X95" s="10">
        <v>0.14791666666666667</v>
      </c>
      <c r="Y95" s="55">
        <v>0.1484375</v>
      </c>
      <c r="AA95" s="8" t="s">
        <v>401</v>
      </c>
      <c r="AB95" s="8" t="s">
        <v>463</v>
      </c>
      <c r="AC95" s="8" t="s">
        <v>438</v>
      </c>
    </row>
    <row r="96" spans="1:29" x14ac:dyDescent="0.25">
      <c r="A96" s="25"/>
      <c r="B96" s="24"/>
      <c r="C96" s="24" t="s">
        <v>177</v>
      </c>
      <c r="D96" s="28">
        <v>406</v>
      </c>
      <c r="E96" s="25" t="s">
        <v>78</v>
      </c>
      <c r="F96" s="29">
        <v>4.3784722222222218E-2</v>
      </c>
      <c r="H96" s="10">
        <v>0.15270833333333333</v>
      </c>
      <c r="I96" s="10">
        <v>0.15541666666666668</v>
      </c>
      <c r="J96" s="10">
        <v>0.16040509259259259</v>
      </c>
      <c r="K96" s="10">
        <v>0.16324074074074074</v>
      </c>
      <c r="L96" s="10">
        <v>0.16438657407407406</v>
      </c>
      <c r="M96" s="10">
        <v>0.16565972222222222</v>
      </c>
      <c r="N96" s="10">
        <v>0.16890046296296299</v>
      </c>
      <c r="O96" s="10">
        <v>0.17120370370370372</v>
      </c>
      <c r="P96" s="10">
        <v>0.17376157407407408</v>
      </c>
      <c r="Q96" s="10">
        <v>0.17569444444444446</v>
      </c>
      <c r="R96" s="10">
        <v>0.17690972222222223</v>
      </c>
      <c r="S96" s="10">
        <v>0.17902777777777779</v>
      </c>
      <c r="T96" s="10">
        <v>0.1822337962962963</v>
      </c>
      <c r="U96" s="10">
        <v>0.18478009259259257</v>
      </c>
      <c r="V96" s="10">
        <v>0.18637731481481482</v>
      </c>
      <c r="W96" s="10">
        <v>0.19018518518518521</v>
      </c>
      <c r="X96" s="10">
        <v>0.19168981481481481</v>
      </c>
      <c r="Y96" s="55">
        <v>0.19222222222222221</v>
      </c>
      <c r="AA96" s="8" t="s">
        <v>402</v>
      </c>
      <c r="AB96" s="8" t="s">
        <v>464</v>
      </c>
      <c r="AC96" s="8" t="s">
        <v>439</v>
      </c>
    </row>
    <row r="97" spans="1:29" x14ac:dyDescent="0.25">
      <c r="A97" s="25"/>
      <c r="B97" s="24"/>
      <c r="C97" s="24"/>
      <c r="D97" s="28"/>
      <c r="E97" s="28"/>
      <c r="F97" s="28"/>
    </row>
    <row r="98" spans="1:29" x14ac:dyDescent="0.25">
      <c r="H98" s="10">
        <f>H93</f>
        <v>3.8773148148148143E-3</v>
      </c>
      <c r="I98" s="10">
        <f>I93-H93</f>
        <v>3.9351851851851857E-3</v>
      </c>
      <c r="J98" s="10">
        <f t="shared" ref="J98:Y101" si="31">J93-I93</f>
        <v>2.8240740740740743E-3</v>
      </c>
      <c r="K98" s="10">
        <f t="shared" si="31"/>
        <v>7.5925925925925935E-3</v>
      </c>
      <c r="L98" s="10">
        <f t="shared" si="31"/>
        <v>1.1689814814814792E-3</v>
      </c>
      <c r="M98" s="10">
        <f t="shared" si="31"/>
        <v>1.145833333333332E-3</v>
      </c>
      <c r="N98" s="10">
        <f t="shared" si="31"/>
        <v>1.7824074074074062E-3</v>
      </c>
      <c r="O98" s="10">
        <f t="shared" si="31"/>
        <v>3.703703703703709E-3</v>
      </c>
      <c r="P98" s="10">
        <f t="shared" si="31"/>
        <v>1.2268518518518505E-3</v>
      </c>
      <c r="Q98" s="10">
        <f t="shared" si="31"/>
        <v>2.199074074074072E-3</v>
      </c>
      <c r="R98" s="10">
        <f t="shared" si="31"/>
        <v>2.5231481481481459E-3</v>
      </c>
      <c r="S98" s="10">
        <f t="shared" si="31"/>
        <v>2.7430555555555611E-3</v>
      </c>
      <c r="T98" s="10">
        <f t="shared" si="31"/>
        <v>3.6458333333333273E-3</v>
      </c>
      <c r="U98" s="10">
        <f t="shared" si="31"/>
        <v>2.372685185185186E-3</v>
      </c>
      <c r="V98" s="10">
        <f t="shared" si="31"/>
        <v>3.0092592592592671E-3</v>
      </c>
      <c r="W98" s="10">
        <f t="shared" si="31"/>
        <v>4.21296296296296E-3</v>
      </c>
      <c r="X98" s="10">
        <f t="shared" si="31"/>
        <v>1.8750000000000017E-3</v>
      </c>
      <c r="Y98" s="10">
        <f t="shared" si="31"/>
        <v>5.7870370370369933E-4</v>
      </c>
    </row>
    <row r="99" spans="1:29" x14ac:dyDescent="0.25">
      <c r="H99" s="10">
        <f>H94-Y93</f>
        <v>4.3749999999999969E-3</v>
      </c>
      <c r="I99" s="10">
        <f t="shared" ref="I99:X101" si="32">I94-H94</f>
        <v>2.9629629629629659E-3</v>
      </c>
      <c r="J99" s="10">
        <f t="shared" si="32"/>
        <v>5.3819444444444531E-3</v>
      </c>
      <c r="K99" s="10">
        <f t="shared" si="32"/>
        <v>4.2592592592592543E-3</v>
      </c>
      <c r="L99" s="10">
        <f t="shared" si="32"/>
        <v>1.8750000000000017E-3</v>
      </c>
      <c r="M99" s="10">
        <f t="shared" si="32"/>
        <v>2.4189814814814803E-3</v>
      </c>
      <c r="N99" s="10">
        <f t="shared" si="32"/>
        <v>7.0601851851852249E-4</v>
      </c>
      <c r="O99" s="10">
        <f t="shared" si="32"/>
        <v>3.4606481481481433E-3</v>
      </c>
      <c r="P99" s="10">
        <f t="shared" si="32"/>
        <v>1.226851851851854E-3</v>
      </c>
      <c r="Q99" s="10">
        <f t="shared" si="32"/>
        <v>3.2407407407407246E-3</v>
      </c>
      <c r="R99" s="10">
        <f t="shared" si="32"/>
        <v>1.2615740740740955E-3</v>
      </c>
      <c r="S99" s="10">
        <f t="shared" si="32"/>
        <v>2.0370370370370317E-3</v>
      </c>
      <c r="T99" s="10">
        <f t="shared" si="32"/>
        <v>2.9050925925925841E-3</v>
      </c>
      <c r="U99" s="10">
        <f t="shared" si="32"/>
        <v>2.6273148148148184E-3</v>
      </c>
      <c r="V99" s="10">
        <f t="shared" si="32"/>
        <v>6.6319444444444542E-3</v>
      </c>
      <c r="W99" s="10">
        <f t="shared" si="32"/>
        <v>3.2060185185185108E-3</v>
      </c>
      <c r="X99" s="10">
        <f t="shared" si="32"/>
        <v>1.9444444444444431E-3</v>
      </c>
      <c r="Y99" s="10">
        <f t="shared" si="31"/>
        <v>6.2500000000000056E-4</v>
      </c>
    </row>
    <row r="100" spans="1:29" x14ac:dyDescent="0.25">
      <c r="H100" s="10">
        <f t="shared" ref="H100:H101" si="33">H95-Y94</f>
        <v>3.5300925925925847E-3</v>
      </c>
      <c r="I100" s="10">
        <f t="shared" si="32"/>
        <v>3.3796296296296491E-3</v>
      </c>
      <c r="J100" s="10">
        <f t="shared" si="31"/>
        <v>5.4513888888888806E-3</v>
      </c>
      <c r="K100" s="10">
        <f t="shared" si="31"/>
        <v>3.1481481481481499E-3</v>
      </c>
      <c r="L100" s="10">
        <f t="shared" si="31"/>
        <v>1.041666666666663E-3</v>
      </c>
      <c r="M100" s="10">
        <f t="shared" si="31"/>
        <v>3.4722222222222238E-3</v>
      </c>
      <c r="N100" s="10">
        <f t="shared" si="31"/>
        <v>1.8518518518518406E-3</v>
      </c>
      <c r="O100" s="10">
        <f t="shared" si="31"/>
        <v>3.4143518518518629E-3</v>
      </c>
      <c r="P100" s="10">
        <f t="shared" si="31"/>
        <v>2.0601851851851927E-3</v>
      </c>
      <c r="Q100" s="10">
        <f t="shared" si="31"/>
        <v>1.5277777777777668E-3</v>
      </c>
      <c r="R100" s="10">
        <f t="shared" si="31"/>
        <v>2.3379629629629584E-3</v>
      </c>
      <c r="S100" s="10">
        <f t="shared" si="31"/>
        <v>2.4305555555555747E-3</v>
      </c>
      <c r="T100" s="10">
        <f t="shared" si="31"/>
        <v>1.9907407407407374E-3</v>
      </c>
      <c r="U100" s="10">
        <f t="shared" si="31"/>
        <v>3.2060185185185108E-3</v>
      </c>
      <c r="V100" s="10">
        <f t="shared" si="31"/>
        <v>1.3773148148148173E-3</v>
      </c>
      <c r="W100" s="10">
        <f t="shared" si="31"/>
        <v>3.8194444444444309E-3</v>
      </c>
      <c r="X100" s="10">
        <f t="shared" si="31"/>
        <v>2.3148148148148251E-3</v>
      </c>
      <c r="Y100" s="10">
        <f t="shared" si="31"/>
        <v>5.2083333333333148E-4</v>
      </c>
    </row>
    <row r="101" spans="1:29" x14ac:dyDescent="0.25">
      <c r="H101" s="10">
        <f t="shared" si="33"/>
        <v>4.2708333333333348E-3</v>
      </c>
      <c r="I101" s="10">
        <f t="shared" si="32"/>
        <v>2.7083333333333404E-3</v>
      </c>
      <c r="J101" s="10">
        <f t="shared" si="31"/>
        <v>4.9884259259259101E-3</v>
      </c>
      <c r="K101" s="10">
        <f t="shared" si="31"/>
        <v>2.8356481481481566E-3</v>
      </c>
      <c r="L101" s="10">
        <f t="shared" si="31"/>
        <v>1.1458333333333182E-3</v>
      </c>
      <c r="M101" s="10">
        <f t="shared" si="31"/>
        <v>1.2731481481481621E-3</v>
      </c>
      <c r="N101" s="10">
        <f t="shared" si="31"/>
        <v>3.2407407407407662E-3</v>
      </c>
      <c r="O101" s="10">
        <f t="shared" si="31"/>
        <v>2.3032407407407307E-3</v>
      </c>
      <c r="P101" s="10">
        <f t="shared" si="31"/>
        <v>2.5578703703703631E-3</v>
      </c>
      <c r="Q101" s="10">
        <f t="shared" si="31"/>
        <v>1.9328703703703765E-3</v>
      </c>
      <c r="R101" s="10">
        <f t="shared" si="31"/>
        <v>1.2152777777777735E-3</v>
      </c>
      <c r="S101" s="10">
        <f t="shared" si="31"/>
        <v>2.1180555555555536E-3</v>
      </c>
      <c r="T101" s="10">
        <f t="shared" si="31"/>
        <v>3.2060185185185108E-3</v>
      </c>
      <c r="U101" s="10">
        <f t="shared" si="31"/>
        <v>2.5462962962962687E-3</v>
      </c>
      <c r="V101" s="10">
        <f t="shared" si="31"/>
        <v>1.5972222222222499E-3</v>
      </c>
      <c r="W101" s="10">
        <f t="shared" si="31"/>
        <v>3.807870370370392E-3</v>
      </c>
      <c r="X101" s="10">
        <f t="shared" si="31"/>
        <v>1.5046296296296058E-3</v>
      </c>
      <c r="Y101" s="10">
        <f t="shared" si="31"/>
        <v>5.3240740740739811E-4</v>
      </c>
    </row>
    <row r="103" spans="1:29" x14ac:dyDescent="0.25">
      <c r="A103" s="25">
        <v>9</v>
      </c>
      <c r="B103" s="24" t="s">
        <v>39</v>
      </c>
      <c r="C103" s="24" t="s">
        <v>164</v>
      </c>
      <c r="D103" s="28">
        <v>109</v>
      </c>
      <c r="E103" s="25" t="s">
        <v>78</v>
      </c>
      <c r="F103" s="29">
        <v>4.9641203703703701E-2</v>
      </c>
      <c r="H103" s="10">
        <v>6.5972222222222222E-3</v>
      </c>
      <c r="I103" s="10">
        <v>9.3402777777777772E-3</v>
      </c>
      <c r="J103" s="10">
        <v>1.4525462962962964E-2</v>
      </c>
      <c r="K103" s="10">
        <v>1.892361111111111E-2</v>
      </c>
      <c r="L103" s="10">
        <v>1.996527777777778E-2</v>
      </c>
      <c r="M103" s="10">
        <v>2.0891203703703703E-2</v>
      </c>
      <c r="N103" s="10">
        <v>2.2303240740740738E-2</v>
      </c>
      <c r="O103" s="10">
        <v>2.6273148148148153E-2</v>
      </c>
      <c r="P103" s="10">
        <v>2.7488425925925927E-2</v>
      </c>
      <c r="Q103" s="10">
        <v>2.9513888888888892E-2</v>
      </c>
      <c r="R103" s="10">
        <v>3.1909722222222221E-2</v>
      </c>
      <c r="S103" s="10">
        <v>3.3622685185185179E-2</v>
      </c>
      <c r="T103" s="10">
        <v>3.6747685185185182E-2</v>
      </c>
      <c r="U103" s="10">
        <v>3.8657407407407404E-2</v>
      </c>
      <c r="V103" s="10">
        <v>4.2708333333333327E-2</v>
      </c>
      <c r="W103" s="10">
        <v>4.7060185185185184E-2</v>
      </c>
      <c r="X103" s="13">
        <v>4.9074074074074076E-2</v>
      </c>
      <c r="Y103" s="13">
        <v>4.9641203703703701E-2</v>
      </c>
      <c r="AA103" s="8" t="s">
        <v>403</v>
      </c>
      <c r="AB103" s="8">
        <v>9.0299999999999994</v>
      </c>
      <c r="AC103" s="8" t="s">
        <v>440</v>
      </c>
    </row>
    <row r="104" spans="1:29" x14ac:dyDescent="0.25">
      <c r="A104" s="25"/>
      <c r="B104" s="24"/>
      <c r="C104" s="24" t="s">
        <v>179</v>
      </c>
      <c r="D104" s="28">
        <v>209</v>
      </c>
      <c r="E104" s="25" t="s">
        <v>78</v>
      </c>
      <c r="F104" s="31" t="s">
        <v>303</v>
      </c>
      <c r="H104" s="10">
        <v>5.4803240740740743E-2</v>
      </c>
      <c r="I104" s="55">
        <v>5.9201388888888894E-2</v>
      </c>
      <c r="J104" s="10">
        <v>6.4340277777777774E-2</v>
      </c>
      <c r="K104" s="10">
        <v>6.6863425925925923E-2</v>
      </c>
      <c r="L104" s="10">
        <v>6.8749999999999992E-2</v>
      </c>
      <c r="M104" s="10">
        <v>6.9791666666666669E-2</v>
      </c>
      <c r="N104" s="10">
        <v>7.1469907407407399E-2</v>
      </c>
      <c r="O104" s="10">
        <v>7.464120370370371E-2</v>
      </c>
      <c r="P104" s="10">
        <v>7.6180555555555557E-2</v>
      </c>
      <c r="Q104" s="10">
        <v>7.8969907407407405E-2</v>
      </c>
      <c r="R104" s="10">
        <v>8.0289351851851862E-2</v>
      </c>
      <c r="S104" s="10">
        <v>8.2812499999999997E-2</v>
      </c>
      <c r="T104" s="10">
        <v>8.5011574074074073E-2</v>
      </c>
      <c r="U104" s="10">
        <v>8.818287037037037E-2</v>
      </c>
      <c r="V104" s="3" t="s">
        <v>365</v>
      </c>
      <c r="W104" s="13">
        <v>9.5405092592592597E-2</v>
      </c>
      <c r="X104" s="13">
        <v>9.7372685185185173E-2</v>
      </c>
      <c r="Y104" s="10">
        <v>9.795138888888888E-2</v>
      </c>
      <c r="AA104" s="8" t="s">
        <v>404</v>
      </c>
      <c r="AB104" s="8" t="s">
        <v>465</v>
      </c>
      <c r="AC104" s="8" t="s">
        <v>441</v>
      </c>
    </row>
    <row r="105" spans="1:29" x14ac:dyDescent="0.25">
      <c r="A105" s="25"/>
      <c r="B105" s="24"/>
      <c r="C105" s="24" t="s">
        <v>176</v>
      </c>
      <c r="D105" s="28">
        <v>309</v>
      </c>
      <c r="E105" s="25" t="s">
        <v>78</v>
      </c>
      <c r="F105" s="29">
        <v>4.9652777777777775E-2</v>
      </c>
      <c r="H105" s="10">
        <v>0.10200231481481481</v>
      </c>
      <c r="I105" s="10">
        <v>0.1049537037037037</v>
      </c>
      <c r="J105" s="10">
        <v>0.11017361111111111</v>
      </c>
      <c r="K105" s="10">
        <v>0.11363425925925925</v>
      </c>
      <c r="L105" s="10">
        <v>0.11475694444444444</v>
      </c>
      <c r="M105" s="10">
        <v>0.11637731481481482</v>
      </c>
      <c r="N105" s="10">
        <v>0.1185648148148148</v>
      </c>
      <c r="O105" s="10">
        <v>0.12128472222222221</v>
      </c>
      <c r="P105" s="10">
        <v>0.12436342592592593</v>
      </c>
      <c r="Q105" s="10">
        <v>0.12557870370370369</v>
      </c>
      <c r="R105" s="10">
        <v>0.1297800925925926</v>
      </c>
      <c r="S105" s="10">
        <v>0.13153935185185187</v>
      </c>
      <c r="T105" s="10">
        <v>0.1353587962962963</v>
      </c>
      <c r="U105" s="10">
        <v>0.13902777777777778</v>
      </c>
      <c r="V105" s="10">
        <v>0.1403587962962963</v>
      </c>
      <c r="W105" s="10">
        <v>0.14467592592592593</v>
      </c>
      <c r="X105" s="13">
        <v>0.14701388888888889</v>
      </c>
      <c r="Y105" s="13">
        <v>0.14760416666666668</v>
      </c>
      <c r="AA105" s="8" t="s">
        <v>405</v>
      </c>
      <c r="AB105" s="8" t="s">
        <v>466</v>
      </c>
      <c r="AC105" s="8" t="s">
        <v>442</v>
      </c>
    </row>
    <row r="106" spans="1:29" x14ac:dyDescent="0.25">
      <c r="A106" s="25"/>
      <c r="B106" s="24"/>
      <c r="C106" s="24" t="s">
        <v>175</v>
      </c>
      <c r="D106" s="28">
        <v>409</v>
      </c>
      <c r="E106" s="25" t="s">
        <v>78</v>
      </c>
      <c r="F106" s="29">
        <v>4.777777777777778E-2</v>
      </c>
      <c r="H106" s="10">
        <v>0.1519675925925926</v>
      </c>
      <c r="I106" s="10">
        <v>0.15394675925925924</v>
      </c>
      <c r="J106" s="10">
        <v>0.15827546296296297</v>
      </c>
      <c r="K106" s="10">
        <v>0.1617824074074074</v>
      </c>
      <c r="L106" s="10">
        <v>0.16331018518518517</v>
      </c>
      <c r="M106" s="10">
        <v>0.16418981481481482</v>
      </c>
      <c r="N106" s="10">
        <v>0.16690972222222222</v>
      </c>
      <c r="O106" s="10">
        <v>0.17143518518518519</v>
      </c>
      <c r="P106" s="10">
        <v>0.17472222222222222</v>
      </c>
      <c r="Q106" s="10">
        <v>0.17700231481481479</v>
      </c>
      <c r="R106" s="10">
        <v>0.17825231481481482</v>
      </c>
      <c r="S106" s="10">
        <v>0.18194444444444444</v>
      </c>
      <c r="T106" s="55">
        <v>0.18458333333333332</v>
      </c>
      <c r="U106" s="10">
        <v>0.18692129629629628</v>
      </c>
      <c r="V106" s="10">
        <v>0.18811342592592592</v>
      </c>
      <c r="W106" s="13">
        <v>0.19216435185185185</v>
      </c>
      <c r="X106" s="13">
        <v>0.1948263888888889</v>
      </c>
      <c r="Y106" s="10">
        <v>0.19538194444444446</v>
      </c>
      <c r="AA106" s="8" t="s">
        <v>406</v>
      </c>
      <c r="AB106" s="8" t="s">
        <v>467</v>
      </c>
      <c r="AC106" s="8" t="s">
        <v>443</v>
      </c>
    </row>
    <row r="107" spans="1:29" x14ac:dyDescent="0.25">
      <c r="B107" s="2"/>
      <c r="C107" s="8"/>
    </row>
    <row r="108" spans="1:29" x14ac:dyDescent="0.25">
      <c r="H108" s="10">
        <f>H103</f>
        <v>6.5972222222222222E-3</v>
      </c>
      <c r="I108" s="10">
        <f>I103-H103</f>
        <v>2.743055555555555E-3</v>
      </c>
      <c r="J108" s="10">
        <f t="shared" ref="J108:Y111" si="34">J103-I103</f>
        <v>5.1851851851851868E-3</v>
      </c>
      <c r="K108" s="10">
        <f t="shared" si="34"/>
        <v>4.3981481481481458E-3</v>
      </c>
      <c r="L108" s="10">
        <f t="shared" si="34"/>
        <v>1.0416666666666699E-3</v>
      </c>
      <c r="M108" s="10">
        <f t="shared" si="34"/>
        <v>9.2592592592592379E-4</v>
      </c>
      <c r="N108" s="10">
        <f t="shared" si="34"/>
        <v>1.4120370370370346E-3</v>
      </c>
      <c r="O108" s="10">
        <f t="shared" si="34"/>
        <v>3.969907407407415E-3</v>
      </c>
      <c r="P108" s="10">
        <f t="shared" si="34"/>
        <v>1.2152777777777735E-3</v>
      </c>
      <c r="Q108" s="10">
        <f t="shared" si="34"/>
        <v>2.025462962962965E-3</v>
      </c>
      <c r="R108" s="10">
        <f t="shared" si="34"/>
        <v>2.3958333333333297E-3</v>
      </c>
      <c r="S108" s="10">
        <f t="shared" si="34"/>
        <v>1.7129629629629578E-3</v>
      </c>
      <c r="T108" s="10">
        <f t="shared" si="34"/>
        <v>3.1250000000000028E-3</v>
      </c>
      <c r="U108" s="10">
        <f t="shared" si="34"/>
        <v>1.9097222222222224E-3</v>
      </c>
      <c r="V108" s="10">
        <f t="shared" si="34"/>
        <v>4.0509259259259231E-3</v>
      </c>
      <c r="W108" s="10">
        <f t="shared" si="34"/>
        <v>4.3518518518518567E-3</v>
      </c>
      <c r="X108" s="10">
        <f t="shared" si="34"/>
        <v>2.0138888888888914E-3</v>
      </c>
      <c r="Y108" s="10">
        <f t="shared" si="34"/>
        <v>5.6712962962962576E-4</v>
      </c>
    </row>
    <row r="109" spans="1:29" x14ac:dyDescent="0.25">
      <c r="H109" s="10">
        <f>H104-Y103</f>
        <v>5.1620370370370414E-3</v>
      </c>
      <c r="I109" s="10">
        <f t="shared" ref="I109:X111" si="35">I104-H104</f>
        <v>4.398148148148151E-3</v>
      </c>
      <c r="J109" s="10">
        <f t="shared" si="35"/>
        <v>5.1388888888888803E-3</v>
      </c>
      <c r="K109" s="10">
        <f t="shared" si="35"/>
        <v>2.5231481481481494E-3</v>
      </c>
      <c r="L109" s="10">
        <f t="shared" si="35"/>
        <v>1.8865740740740683E-3</v>
      </c>
      <c r="M109" s="10">
        <f t="shared" si="35"/>
        <v>1.0416666666666768E-3</v>
      </c>
      <c r="N109" s="10">
        <f t="shared" si="35"/>
        <v>1.6782407407407302E-3</v>
      </c>
      <c r="O109" s="10">
        <f t="shared" si="35"/>
        <v>3.1712962962963109E-3</v>
      </c>
      <c r="P109" s="10">
        <f t="shared" si="35"/>
        <v>1.5393518518518473E-3</v>
      </c>
      <c r="Q109" s="10">
        <f t="shared" si="35"/>
        <v>2.7893518518518484E-3</v>
      </c>
      <c r="R109" s="10">
        <f t="shared" si="35"/>
        <v>1.3194444444444564E-3</v>
      </c>
      <c r="S109" s="10">
        <f t="shared" si="35"/>
        <v>2.5231481481481355E-3</v>
      </c>
      <c r="T109" s="10">
        <f t="shared" si="35"/>
        <v>2.1990740740740755E-3</v>
      </c>
      <c r="U109" s="10">
        <f t="shared" si="35"/>
        <v>3.1712962962962971E-3</v>
      </c>
      <c r="V109" s="10"/>
      <c r="W109" s="10"/>
      <c r="X109" s="10">
        <f t="shared" si="35"/>
        <v>1.9675925925925764E-3</v>
      </c>
      <c r="Y109" s="10">
        <f t="shared" si="34"/>
        <v>5.7870370370370627E-4</v>
      </c>
    </row>
    <row r="110" spans="1:29" x14ac:dyDescent="0.25">
      <c r="H110" s="10">
        <f t="shared" ref="H110:H111" si="36">H105-Y104</f>
        <v>4.05092592592593E-3</v>
      </c>
      <c r="I110" s="10">
        <f t="shared" si="35"/>
        <v>2.9513888888888923E-3</v>
      </c>
      <c r="J110" s="10">
        <f t="shared" si="34"/>
        <v>5.2199074074074092E-3</v>
      </c>
      <c r="K110" s="10">
        <f t="shared" si="34"/>
        <v>3.4606481481481433E-3</v>
      </c>
      <c r="L110" s="10">
        <f t="shared" si="34"/>
        <v>1.1226851851851849E-3</v>
      </c>
      <c r="M110" s="10">
        <f t="shared" si="34"/>
        <v>1.6203703703703831E-3</v>
      </c>
      <c r="N110" s="10">
        <f t="shared" si="34"/>
        <v>2.1874999999999811E-3</v>
      </c>
      <c r="O110" s="10">
        <f t="shared" si="34"/>
        <v>2.719907407407407E-3</v>
      </c>
      <c r="P110" s="10">
        <f t="shared" si="34"/>
        <v>3.0787037037037224E-3</v>
      </c>
      <c r="Q110" s="10">
        <f t="shared" si="34"/>
        <v>1.2152777777777596E-3</v>
      </c>
      <c r="R110" s="10">
        <f t="shared" si="34"/>
        <v>4.2013888888889073E-3</v>
      </c>
      <c r="S110" s="10">
        <f t="shared" si="34"/>
        <v>1.759259259259266E-3</v>
      </c>
      <c r="T110" s="10">
        <f t="shared" si="34"/>
        <v>3.8194444444444309E-3</v>
      </c>
      <c r="U110" s="10">
        <f t="shared" si="34"/>
        <v>3.6689814814814814E-3</v>
      </c>
      <c r="V110" s="10">
        <f t="shared" si="34"/>
        <v>1.331018518518523E-3</v>
      </c>
      <c r="W110" s="10">
        <f t="shared" si="34"/>
        <v>4.3171296296296291E-3</v>
      </c>
      <c r="X110" s="10">
        <f t="shared" si="34"/>
        <v>2.3379629629629584E-3</v>
      </c>
      <c r="Y110" s="10">
        <f t="shared" si="34"/>
        <v>5.9027777777778678E-4</v>
      </c>
    </row>
    <row r="111" spans="1:29" x14ac:dyDescent="0.25">
      <c r="H111" s="10">
        <f t="shared" si="36"/>
        <v>4.3634259259259234E-3</v>
      </c>
      <c r="I111" s="10">
        <f t="shared" si="35"/>
        <v>1.979166666666643E-3</v>
      </c>
      <c r="J111" s="10">
        <f t="shared" si="34"/>
        <v>4.3287037037037235E-3</v>
      </c>
      <c r="K111" s="10">
        <f t="shared" si="34"/>
        <v>3.5069444444444375E-3</v>
      </c>
      <c r="L111" s="10">
        <f t="shared" si="34"/>
        <v>1.5277777777777668E-3</v>
      </c>
      <c r="M111" s="10">
        <f t="shared" si="34"/>
        <v>8.7962962962964686E-4</v>
      </c>
      <c r="N111" s="10">
        <f t="shared" si="34"/>
        <v>2.719907407407407E-3</v>
      </c>
      <c r="O111" s="10">
        <f t="shared" si="34"/>
        <v>4.5254629629629672E-3</v>
      </c>
      <c r="P111" s="10">
        <f t="shared" si="34"/>
        <v>3.2870370370370328E-3</v>
      </c>
      <c r="Q111" s="10">
        <f t="shared" si="34"/>
        <v>2.2800925925925697E-3</v>
      </c>
      <c r="R111" s="10">
        <f t="shared" si="34"/>
        <v>1.2500000000000289E-3</v>
      </c>
      <c r="S111" s="10">
        <f t="shared" si="34"/>
        <v>3.6921296296296147E-3</v>
      </c>
      <c r="T111" s="10">
        <f t="shared" si="34"/>
        <v>2.6388888888888851E-3</v>
      </c>
      <c r="U111" s="10">
        <f t="shared" si="34"/>
        <v>2.3379629629629584E-3</v>
      </c>
      <c r="V111" s="10">
        <f t="shared" si="34"/>
        <v>1.1921296296296402E-3</v>
      </c>
      <c r="W111" s="10">
        <f t="shared" si="34"/>
        <v>4.05092592592593E-3</v>
      </c>
      <c r="X111" s="10">
        <f t="shared" si="34"/>
        <v>2.6620370370370461E-3</v>
      </c>
      <c r="Y111" s="10">
        <f t="shared" si="34"/>
        <v>5.5555555555555913E-4</v>
      </c>
    </row>
    <row r="115" spans="6:7" x14ac:dyDescent="0.25">
      <c r="F115" s="1" t="s">
        <v>468</v>
      </c>
      <c r="G115" s="1" t="s">
        <v>483</v>
      </c>
    </row>
    <row r="116" spans="6:7" x14ac:dyDescent="0.25">
      <c r="F116" s="1" t="s">
        <v>469</v>
      </c>
      <c r="G116" s="1" t="s">
        <v>484</v>
      </c>
    </row>
    <row r="117" spans="6:7" x14ac:dyDescent="0.25">
      <c r="F117" s="1" t="s">
        <v>470</v>
      </c>
      <c r="G117" s="1" t="s">
        <v>485</v>
      </c>
    </row>
    <row r="118" spans="6:7" x14ac:dyDescent="0.25">
      <c r="F118" s="1" t="s">
        <v>471</v>
      </c>
      <c r="G118" s="1" t="s">
        <v>486</v>
      </c>
    </row>
    <row r="119" spans="6:7" x14ac:dyDescent="0.25">
      <c r="F119" s="1" t="s">
        <v>472</v>
      </c>
      <c r="G119" s="1" t="s">
        <v>487</v>
      </c>
    </row>
    <row r="120" spans="6:7" x14ac:dyDescent="0.25">
      <c r="F120" s="1" t="s">
        <v>473</v>
      </c>
      <c r="G120" s="1" t="s">
        <v>488</v>
      </c>
    </row>
    <row r="121" spans="6:7" x14ac:dyDescent="0.25">
      <c r="F121" s="1" t="s">
        <v>474</v>
      </c>
      <c r="G121" s="1" t="s">
        <v>489</v>
      </c>
    </row>
    <row r="122" spans="6:7" x14ac:dyDescent="0.25">
      <c r="F122" s="1" t="s">
        <v>475</v>
      </c>
      <c r="G122" s="1" t="s">
        <v>490</v>
      </c>
    </row>
    <row r="123" spans="6:7" x14ac:dyDescent="0.25">
      <c r="F123" s="1" t="s">
        <v>10</v>
      </c>
      <c r="G123" s="1" t="s">
        <v>491</v>
      </c>
    </row>
    <row r="124" spans="6:7" x14ac:dyDescent="0.25">
      <c r="F124" s="1" t="s">
        <v>476</v>
      </c>
      <c r="G124" s="1" t="s">
        <v>492</v>
      </c>
    </row>
    <row r="125" spans="6:7" x14ac:dyDescent="0.25">
      <c r="F125" s="1" t="s">
        <v>477</v>
      </c>
      <c r="G125" s="1" t="s">
        <v>493</v>
      </c>
    </row>
    <row r="126" spans="6:7" x14ac:dyDescent="0.25">
      <c r="F126" s="1" t="s">
        <v>478</v>
      </c>
      <c r="G126" s="1" t="s">
        <v>494</v>
      </c>
    </row>
    <row r="127" spans="6:7" x14ac:dyDescent="0.25">
      <c r="F127" s="1" t="s">
        <v>479</v>
      </c>
      <c r="G127" s="1" t="s">
        <v>495</v>
      </c>
    </row>
    <row r="128" spans="6:7" x14ac:dyDescent="0.25">
      <c r="F128" s="1" t="s">
        <v>480</v>
      </c>
      <c r="G128" s="1" t="s">
        <v>496</v>
      </c>
    </row>
    <row r="129" spans="6:7" x14ac:dyDescent="0.25">
      <c r="F129" s="1" t="s">
        <v>481</v>
      </c>
      <c r="G129" s="1" t="s">
        <v>497</v>
      </c>
    </row>
    <row r="130" spans="6:7" x14ac:dyDescent="0.25">
      <c r="F130" s="1" t="s">
        <v>482</v>
      </c>
      <c r="G130" s="1" t="s">
        <v>498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7"/>
  <sheetViews>
    <sheetView topLeftCell="F103" workbookViewId="0">
      <selection activeCell="W41" sqref="W41"/>
    </sheetView>
  </sheetViews>
  <sheetFormatPr defaultRowHeight="13.2" x14ac:dyDescent="0.25"/>
  <cols>
    <col min="1" max="1" width="9.6640625" style="44" customWidth="1"/>
    <col min="2" max="2" width="20.88671875" style="44" customWidth="1"/>
    <col min="3" max="3" width="22.109375" style="44" customWidth="1"/>
    <col min="4" max="4" width="10.6640625" style="25" customWidth="1"/>
    <col min="5" max="5" width="10.109375" style="25" customWidth="1"/>
    <col min="6" max="6" width="8.88671875" style="25"/>
    <col min="7" max="7" width="8.88671875" style="44"/>
    <col min="8" max="19" width="8.88671875" style="25"/>
    <col min="20" max="21" width="8.88671875" style="44"/>
    <col min="22" max="22" width="13.44140625" style="44" customWidth="1"/>
    <col min="23" max="23" width="22.77734375" style="44" customWidth="1"/>
    <col min="24" max="16384" width="8.88671875" style="44"/>
  </cols>
  <sheetData>
    <row r="1" spans="1:7" s="25" customFormat="1" x14ac:dyDescent="0.25">
      <c r="A1" s="24" t="s">
        <v>0</v>
      </c>
      <c r="B1" s="24"/>
      <c r="C1" s="24"/>
      <c r="F1" s="28"/>
      <c r="G1" s="44"/>
    </row>
    <row r="2" spans="1:7" s="25" customFormat="1" x14ac:dyDescent="0.25">
      <c r="A2" s="24" t="s">
        <v>1</v>
      </c>
      <c r="B2" s="24"/>
      <c r="C2" s="24"/>
      <c r="F2" s="28"/>
      <c r="G2" s="44"/>
    </row>
    <row r="3" spans="1:7" s="25" customFormat="1" x14ac:dyDescent="0.25">
      <c r="A3" s="24"/>
      <c r="B3" s="24"/>
      <c r="C3" s="24"/>
      <c r="F3" s="28"/>
      <c r="G3" s="44"/>
    </row>
    <row r="4" spans="1:7" s="25" customFormat="1" x14ac:dyDescent="0.25">
      <c r="A4" s="24" t="s">
        <v>31</v>
      </c>
      <c r="B4" s="24"/>
      <c r="C4" s="24"/>
      <c r="F4" s="28"/>
      <c r="G4" s="44"/>
    </row>
    <row r="5" spans="1:7" s="25" customFormat="1" x14ac:dyDescent="0.25">
      <c r="A5" s="24" t="s">
        <v>32</v>
      </c>
      <c r="B5" s="24"/>
      <c r="C5" s="24"/>
      <c r="F5" s="28"/>
      <c r="G5" s="44"/>
    </row>
    <row r="6" spans="1:7" s="25" customFormat="1" x14ac:dyDescent="0.25">
      <c r="A6" s="24"/>
      <c r="B6" s="24"/>
      <c r="C6" s="24"/>
      <c r="F6" s="28"/>
      <c r="G6" s="44"/>
    </row>
    <row r="7" spans="1:7" s="25" customFormat="1" x14ac:dyDescent="0.25">
      <c r="A7" s="24" t="s">
        <v>139</v>
      </c>
      <c r="B7" s="24"/>
      <c r="C7" s="24"/>
      <c r="F7" s="28"/>
      <c r="G7" s="44"/>
    </row>
    <row r="8" spans="1:7" s="25" customFormat="1" x14ac:dyDescent="0.25">
      <c r="A8" s="24" t="s">
        <v>294</v>
      </c>
      <c r="B8" s="24"/>
      <c r="C8" s="24"/>
      <c r="F8" s="28"/>
      <c r="G8" s="44"/>
    </row>
    <row r="9" spans="1:7" s="25" customFormat="1" x14ac:dyDescent="0.25">
      <c r="A9" s="24"/>
      <c r="B9" s="24"/>
      <c r="C9" s="24"/>
      <c r="F9" s="28"/>
      <c r="G9" s="44"/>
    </row>
    <row r="10" spans="1:7" s="25" customFormat="1" x14ac:dyDescent="0.25">
      <c r="A10" s="24" t="s">
        <v>293</v>
      </c>
      <c r="B10" s="24"/>
      <c r="C10" s="24"/>
      <c r="F10" s="28"/>
      <c r="G10" s="44"/>
    </row>
    <row r="11" spans="1:7" s="25" customFormat="1" x14ac:dyDescent="0.25">
      <c r="A11" s="24" t="s">
        <v>142</v>
      </c>
      <c r="B11" s="24"/>
      <c r="C11" s="24"/>
      <c r="F11" s="28"/>
      <c r="G11" s="44"/>
    </row>
    <row r="12" spans="1:7" s="25" customFormat="1" x14ac:dyDescent="0.25">
      <c r="A12" s="24"/>
      <c r="B12" s="24"/>
      <c r="C12" s="24"/>
      <c r="F12" s="28"/>
      <c r="G12" s="44"/>
    </row>
    <row r="13" spans="1:7" s="25" customFormat="1" x14ac:dyDescent="0.25">
      <c r="A13" s="24" t="s">
        <v>313</v>
      </c>
      <c r="B13" s="24"/>
      <c r="C13" s="24"/>
      <c r="F13" s="28"/>
      <c r="G13" s="44"/>
    </row>
    <row r="14" spans="1:7" s="25" customFormat="1" x14ac:dyDescent="0.25">
      <c r="A14" s="24" t="s">
        <v>212</v>
      </c>
      <c r="B14" s="24"/>
      <c r="C14" s="24"/>
      <c r="F14" s="28"/>
      <c r="G14" s="44"/>
    </row>
    <row r="15" spans="1:7" s="25" customFormat="1" x14ac:dyDescent="0.25">
      <c r="A15" s="24" t="s">
        <v>314</v>
      </c>
      <c r="B15" s="24"/>
      <c r="C15" s="24"/>
      <c r="F15" s="28"/>
      <c r="G15" s="44"/>
    </row>
    <row r="16" spans="1:7" s="25" customFormat="1" x14ac:dyDescent="0.25">
      <c r="A16" s="24" t="s">
        <v>315</v>
      </c>
      <c r="B16" s="24"/>
      <c r="C16" s="24"/>
      <c r="F16" s="28"/>
      <c r="G16" s="44"/>
    </row>
    <row r="17" spans="1:25" x14ac:dyDescent="0.25">
      <c r="A17" s="24"/>
      <c r="B17" s="24"/>
      <c r="C17" s="24"/>
      <c r="F17" s="28"/>
    </row>
    <row r="18" spans="1:25" x14ac:dyDescent="0.25">
      <c r="A18" s="24" t="s">
        <v>316</v>
      </c>
      <c r="B18" s="24"/>
      <c r="C18" s="24"/>
      <c r="F18" s="28"/>
    </row>
    <row r="19" spans="1:25" x14ac:dyDescent="0.25">
      <c r="A19" s="24"/>
      <c r="B19" s="24"/>
      <c r="C19" s="24"/>
      <c r="F19" s="28"/>
    </row>
    <row r="20" spans="1:25" x14ac:dyDescent="0.25">
      <c r="A20" s="24" t="s">
        <v>214</v>
      </c>
      <c r="B20" s="24"/>
      <c r="C20" s="24"/>
      <c r="F20" s="28"/>
    </row>
    <row r="21" spans="1:25" x14ac:dyDescent="0.25">
      <c r="A21" s="24"/>
      <c r="B21" s="24"/>
      <c r="C21" s="24"/>
      <c r="F21" s="28"/>
    </row>
    <row r="22" spans="1:25" ht="26.4" x14ac:dyDescent="0.25">
      <c r="A22" s="5" t="s">
        <v>33</v>
      </c>
      <c r="B22" s="5" t="s">
        <v>6</v>
      </c>
      <c r="C22" s="5" t="s">
        <v>148</v>
      </c>
      <c r="D22" s="5" t="s">
        <v>149</v>
      </c>
      <c r="E22" s="5" t="s">
        <v>151</v>
      </c>
      <c r="F22" s="5" t="s">
        <v>300</v>
      </c>
      <c r="J22" s="25" t="s">
        <v>367</v>
      </c>
      <c r="M22" s="25" t="s">
        <v>361</v>
      </c>
      <c r="Q22" s="25" t="s">
        <v>366</v>
      </c>
      <c r="R22" s="25" t="s">
        <v>363</v>
      </c>
      <c r="S22" s="25" t="s">
        <v>364</v>
      </c>
      <c r="U22" s="9" t="s">
        <v>368</v>
      </c>
      <c r="V22" s="9" t="s">
        <v>369</v>
      </c>
      <c r="W22" s="9" t="s">
        <v>368</v>
      </c>
    </row>
    <row r="23" spans="1:25" x14ac:dyDescent="0.25">
      <c r="A23" s="25">
        <v>1</v>
      </c>
      <c r="B23" s="24" t="s">
        <v>9</v>
      </c>
      <c r="C23" s="45" t="s">
        <v>230</v>
      </c>
      <c r="D23" s="25" t="s">
        <v>73</v>
      </c>
      <c r="E23" s="25" t="s">
        <v>78</v>
      </c>
      <c r="F23" s="26">
        <v>3.8831018518518515E-2</v>
      </c>
      <c r="H23" s="26">
        <v>3.8773148148148143E-3</v>
      </c>
      <c r="I23" s="26">
        <v>6.9212962962962969E-3</v>
      </c>
      <c r="J23" s="26">
        <v>1.105324074074074E-2</v>
      </c>
      <c r="K23" s="26">
        <v>1.4178240740740741E-2</v>
      </c>
      <c r="L23" s="26">
        <v>1.6666666666666666E-2</v>
      </c>
      <c r="M23" s="26">
        <v>1.9571759259259257E-2</v>
      </c>
      <c r="N23" s="26">
        <v>2.3923611111111114E-2</v>
      </c>
      <c r="O23" s="26">
        <v>2.8125000000000001E-2</v>
      </c>
      <c r="P23" s="26">
        <v>3.1712962962962964E-2</v>
      </c>
      <c r="Q23" s="26">
        <v>3.5474537037037041E-2</v>
      </c>
      <c r="R23" s="26">
        <v>3.8182870370370374E-2</v>
      </c>
      <c r="S23" s="26">
        <f>F23</f>
        <v>3.8831018518518515E-2</v>
      </c>
      <c r="U23" s="44" t="s">
        <v>569</v>
      </c>
      <c r="V23" s="44" t="s">
        <v>572</v>
      </c>
      <c r="W23" s="44" t="s">
        <v>576</v>
      </c>
      <c r="X23" s="25"/>
      <c r="Y23" s="60"/>
    </row>
    <row r="24" spans="1:25" x14ac:dyDescent="0.25">
      <c r="A24" s="25"/>
      <c r="C24" s="45" t="s">
        <v>228</v>
      </c>
      <c r="D24" s="25">
        <v>217</v>
      </c>
      <c r="E24" s="25" t="s">
        <v>78</v>
      </c>
      <c r="F24" s="26">
        <v>3.5787037037037034E-2</v>
      </c>
      <c r="H24" s="26">
        <v>4.5775462962962969E-2</v>
      </c>
      <c r="I24" s="26">
        <v>4.7708333333333332E-2</v>
      </c>
      <c r="J24" s="26">
        <v>5.2719907407407403E-2</v>
      </c>
      <c r="K24" s="26">
        <v>5.6134259259259266E-2</v>
      </c>
      <c r="L24" s="26">
        <v>5.844907407407407E-2</v>
      </c>
      <c r="M24" s="26">
        <v>5.9872685185185182E-2</v>
      </c>
      <c r="N24" s="26">
        <v>6.1921296296296301E-2</v>
      </c>
      <c r="O24" s="26">
        <v>6.4930555555555561E-2</v>
      </c>
      <c r="P24" s="26">
        <v>6.8136574074074072E-2</v>
      </c>
      <c r="Q24" s="26">
        <v>7.1006944444444442E-2</v>
      </c>
      <c r="R24" s="26">
        <v>7.4016203703703709E-2</v>
      </c>
      <c r="S24" s="26">
        <f>F23+F24</f>
        <v>7.4618055555555549E-2</v>
      </c>
      <c r="U24" s="44" t="s">
        <v>570</v>
      </c>
      <c r="V24" s="44" t="s">
        <v>573</v>
      </c>
      <c r="W24" s="44" t="s">
        <v>584</v>
      </c>
      <c r="X24" s="25"/>
      <c r="Y24" s="60"/>
    </row>
    <row r="25" spans="1:25" x14ac:dyDescent="0.25">
      <c r="A25" s="25"/>
      <c r="C25" s="45" t="s">
        <v>216</v>
      </c>
      <c r="D25" s="25">
        <v>317</v>
      </c>
      <c r="E25" s="25" t="s">
        <v>78</v>
      </c>
      <c r="F25" s="26">
        <v>3.5972222222222218E-2</v>
      </c>
      <c r="H25" s="26">
        <v>7.9976851851851841E-2</v>
      </c>
      <c r="I25" s="66">
        <v>8.2465277777777776E-2</v>
      </c>
      <c r="J25" s="26">
        <v>8.6863425925925927E-2</v>
      </c>
      <c r="K25" s="26">
        <v>8.9502314814814812E-2</v>
      </c>
      <c r="L25" s="26">
        <v>9.178240740740741E-2</v>
      </c>
      <c r="M25" s="26">
        <v>9.3136574074074066E-2</v>
      </c>
      <c r="N25" s="26">
        <v>9.6180555555555561E-2</v>
      </c>
      <c r="O25" s="26">
        <v>0.10106481481481482</v>
      </c>
      <c r="P25" s="26">
        <v>0.10363425925925925</v>
      </c>
      <c r="Q25" s="26">
        <v>0.10688657407407408</v>
      </c>
      <c r="R25" s="26">
        <v>0.10988425925925926</v>
      </c>
      <c r="S25" s="26">
        <f>F23+F24+F25</f>
        <v>0.11059027777777777</v>
      </c>
      <c r="U25" s="44" t="s">
        <v>565</v>
      </c>
      <c r="V25" s="44" t="s">
        <v>574</v>
      </c>
      <c r="W25" s="44" t="s">
        <v>590</v>
      </c>
      <c r="X25" s="25"/>
      <c r="Y25" s="60"/>
    </row>
    <row r="26" spans="1:25" x14ac:dyDescent="0.25">
      <c r="A26" s="25"/>
      <c r="C26" s="45" t="s">
        <v>215</v>
      </c>
      <c r="D26" s="25" t="s">
        <v>308</v>
      </c>
      <c r="E26" s="25" t="s">
        <v>78</v>
      </c>
      <c r="F26" s="26">
        <v>3.1261574074074074E-2</v>
      </c>
      <c r="H26" s="26">
        <v>0.11497685185185186</v>
      </c>
      <c r="I26" s="26">
        <v>0.11726851851851851</v>
      </c>
      <c r="J26" s="26">
        <v>0.12060185185185185</v>
      </c>
      <c r="K26" s="26">
        <v>0.12283564814814814</v>
      </c>
      <c r="L26" s="26">
        <v>0.1248263888888889</v>
      </c>
      <c r="M26" s="26">
        <v>0.12760416666666666</v>
      </c>
      <c r="N26" s="26">
        <v>0.13027777777777777</v>
      </c>
      <c r="O26" s="26">
        <v>0.13211805555555556</v>
      </c>
      <c r="P26" s="26">
        <v>0.13537037037037036</v>
      </c>
      <c r="Q26" s="26">
        <v>0.13848379629629629</v>
      </c>
      <c r="R26" s="26">
        <v>0.14114583333333333</v>
      </c>
      <c r="S26" s="26">
        <f>F23+F24+F25+F26</f>
        <v>0.14185185185185184</v>
      </c>
      <c r="U26" s="44" t="s">
        <v>571</v>
      </c>
      <c r="V26" s="44" t="s">
        <v>575</v>
      </c>
      <c r="W26" s="44" t="s">
        <v>594</v>
      </c>
      <c r="X26" s="25"/>
      <c r="Y26" s="60"/>
    </row>
    <row r="27" spans="1:25" x14ac:dyDescent="0.25">
      <c r="A27" s="25"/>
      <c r="X27" s="25"/>
      <c r="Y27" s="60"/>
    </row>
    <row r="28" spans="1:25" x14ac:dyDescent="0.25">
      <c r="D28" s="44"/>
      <c r="E28" s="44"/>
      <c r="F28" s="44"/>
      <c r="H28" s="26">
        <f>H23</f>
        <v>3.8773148148148143E-3</v>
      </c>
      <c r="I28" s="26">
        <f>I23-H23</f>
        <v>3.0439814814814826E-3</v>
      </c>
      <c r="J28" s="26">
        <f t="shared" ref="J28:S28" si="0">J23-I23</f>
        <v>4.1319444444444433E-3</v>
      </c>
      <c r="K28" s="26">
        <f t="shared" si="0"/>
        <v>3.125000000000001E-3</v>
      </c>
      <c r="L28" s="26">
        <f t="shared" si="0"/>
        <v>2.4884259259259252E-3</v>
      </c>
      <c r="M28" s="26">
        <f t="shared" si="0"/>
        <v>2.9050925925925911E-3</v>
      </c>
      <c r="N28" s="26">
        <f t="shared" si="0"/>
        <v>4.3518518518518567E-3</v>
      </c>
      <c r="O28" s="26">
        <f t="shared" si="0"/>
        <v>4.2013888888888865E-3</v>
      </c>
      <c r="P28" s="26">
        <f t="shared" si="0"/>
        <v>3.5879629629629629E-3</v>
      </c>
      <c r="Q28" s="26">
        <f t="shared" si="0"/>
        <v>3.7615740740740769E-3</v>
      </c>
      <c r="R28" s="26">
        <f t="shared" si="0"/>
        <v>2.7083333333333334E-3</v>
      </c>
      <c r="S28" s="26">
        <f t="shared" si="0"/>
        <v>6.4814814814814076E-4</v>
      </c>
      <c r="X28" s="25"/>
      <c r="Y28" s="60"/>
    </row>
    <row r="29" spans="1:25" x14ac:dyDescent="0.25">
      <c r="D29" s="44"/>
      <c r="E29" s="44"/>
      <c r="F29" s="44"/>
      <c r="H29" s="26">
        <f>H24-S23</f>
        <v>6.9444444444444545E-3</v>
      </c>
      <c r="I29" s="26">
        <f t="shared" ref="I29:S31" si="1">I24-H24</f>
        <v>1.9328703703703626E-3</v>
      </c>
      <c r="J29" s="26">
        <f t="shared" si="1"/>
        <v>5.0115740740740711E-3</v>
      </c>
      <c r="K29" s="26">
        <f t="shared" si="1"/>
        <v>3.4143518518518629E-3</v>
      </c>
      <c r="L29" s="26">
        <f t="shared" si="1"/>
        <v>2.3148148148148043E-3</v>
      </c>
      <c r="M29" s="26">
        <f t="shared" si="1"/>
        <v>1.4236111111111116E-3</v>
      </c>
      <c r="N29" s="26">
        <f t="shared" si="1"/>
        <v>2.0486111111111191E-3</v>
      </c>
      <c r="O29" s="26">
        <f t="shared" si="1"/>
        <v>3.0092592592592601E-3</v>
      </c>
      <c r="P29" s="26">
        <f t="shared" si="1"/>
        <v>3.2060185185185108E-3</v>
      </c>
      <c r="Q29" s="26">
        <f t="shared" si="1"/>
        <v>2.8703703703703703E-3</v>
      </c>
      <c r="R29" s="26">
        <f t="shared" si="1"/>
        <v>3.0092592592592671E-3</v>
      </c>
      <c r="S29" s="26">
        <f t="shared" si="1"/>
        <v>6.0185185185183954E-4</v>
      </c>
      <c r="X29" s="25"/>
      <c r="Y29" s="60"/>
    </row>
    <row r="30" spans="1:25" x14ac:dyDescent="0.25">
      <c r="D30" s="44"/>
      <c r="E30" s="44"/>
      <c r="F30" s="44"/>
      <c r="H30" s="26">
        <f t="shared" ref="H30:H31" si="2">H25-S24</f>
        <v>5.3587962962962921E-3</v>
      </c>
      <c r="I30" s="26">
        <f t="shared" si="1"/>
        <v>2.4884259259259356E-3</v>
      </c>
      <c r="J30" s="26">
        <f t="shared" si="1"/>
        <v>4.398148148148151E-3</v>
      </c>
      <c r="K30" s="26">
        <f t="shared" si="1"/>
        <v>2.6388888888888851E-3</v>
      </c>
      <c r="L30" s="26">
        <f t="shared" si="1"/>
        <v>2.2800925925925974E-3</v>
      </c>
      <c r="M30" s="26">
        <f t="shared" si="1"/>
        <v>1.3541666666666563E-3</v>
      </c>
      <c r="N30" s="26">
        <f t="shared" si="1"/>
        <v>3.0439814814814947E-3</v>
      </c>
      <c r="O30" s="26">
        <f t="shared" si="1"/>
        <v>4.8842592592592549E-3</v>
      </c>
      <c r="P30" s="26">
        <f t="shared" si="1"/>
        <v>2.5694444444444298E-3</v>
      </c>
      <c r="Q30" s="26">
        <f t="shared" si="1"/>
        <v>3.2523148148148329E-3</v>
      </c>
      <c r="R30" s="26">
        <f t="shared" si="1"/>
        <v>2.9976851851851866E-3</v>
      </c>
      <c r="S30" s="26">
        <f t="shared" si="1"/>
        <v>7.0601851851850861E-4</v>
      </c>
      <c r="X30" s="25"/>
      <c r="Y30" s="60"/>
    </row>
    <row r="31" spans="1:25" x14ac:dyDescent="0.25">
      <c r="D31" s="44"/>
      <c r="E31" s="44"/>
      <c r="F31" s="44"/>
      <c r="H31" s="26">
        <f t="shared" si="2"/>
        <v>4.3865740740740844E-3</v>
      </c>
      <c r="I31" s="26">
        <f t="shared" si="1"/>
        <v>2.2916666666666502E-3</v>
      </c>
      <c r="J31" s="26">
        <f t="shared" si="1"/>
        <v>3.3333333333333409E-3</v>
      </c>
      <c r="K31" s="26">
        <f t="shared" si="1"/>
        <v>2.2337962962962893E-3</v>
      </c>
      <c r="L31" s="26">
        <f t="shared" si="1"/>
        <v>1.9907407407407651E-3</v>
      </c>
      <c r="M31" s="26">
        <f t="shared" si="1"/>
        <v>2.777777777777754E-3</v>
      </c>
      <c r="N31" s="26">
        <f t="shared" si="1"/>
        <v>2.6736111111111127E-3</v>
      </c>
      <c r="O31" s="26">
        <f t="shared" si="1"/>
        <v>1.8402777777777879E-3</v>
      </c>
      <c r="P31" s="26">
        <f t="shared" si="1"/>
        <v>3.2523148148148051E-3</v>
      </c>
      <c r="Q31" s="26">
        <f t="shared" si="1"/>
        <v>3.1134259259259223E-3</v>
      </c>
      <c r="R31" s="26">
        <f t="shared" si="1"/>
        <v>2.6620370370370461E-3</v>
      </c>
      <c r="S31" s="26">
        <f t="shared" si="1"/>
        <v>7.0601851851850861E-4</v>
      </c>
      <c r="X31" s="25"/>
      <c r="Y31" s="60"/>
    </row>
    <row r="32" spans="1:25" x14ac:dyDescent="0.25">
      <c r="D32" s="44"/>
      <c r="E32" s="44"/>
      <c r="F32" s="44"/>
      <c r="X32" s="25"/>
      <c r="Y32" s="60"/>
    </row>
    <row r="33" spans="1:25" x14ac:dyDescent="0.25">
      <c r="A33" s="25">
        <v>2</v>
      </c>
      <c r="B33" s="24" t="s">
        <v>11</v>
      </c>
      <c r="C33" s="45" t="s">
        <v>229</v>
      </c>
      <c r="D33" s="25">
        <v>115</v>
      </c>
      <c r="E33" s="25" t="s">
        <v>78</v>
      </c>
      <c r="F33" s="26">
        <v>3.4872685185185187E-2</v>
      </c>
      <c r="H33" s="26">
        <v>4.108796296296297E-3</v>
      </c>
      <c r="I33" s="26">
        <v>6.5972222222222222E-3</v>
      </c>
      <c r="J33" s="26">
        <v>1.1041666666666667E-2</v>
      </c>
      <c r="K33" s="26">
        <v>1.4351851851851852E-2</v>
      </c>
      <c r="L33" s="26">
        <v>1.6666666666666666E-2</v>
      </c>
      <c r="M33" s="26">
        <v>1.8310185185185186E-2</v>
      </c>
      <c r="N33" s="26">
        <v>2.0787037037037038E-2</v>
      </c>
      <c r="O33" s="26">
        <v>2.5231481481481483E-2</v>
      </c>
      <c r="P33" s="26">
        <v>2.8009259259259262E-2</v>
      </c>
      <c r="Q33" s="26">
        <v>3.125E-2</v>
      </c>
      <c r="R33" s="26">
        <v>3.4236111111111113E-2</v>
      </c>
      <c r="S33" s="26">
        <f t="shared" ref="S33" si="3">F33</f>
        <v>3.4872685185185187E-2</v>
      </c>
      <c r="U33" s="44" t="s">
        <v>565</v>
      </c>
      <c r="V33" s="44" t="s">
        <v>511</v>
      </c>
      <c r="W33" s="44" t="s">
        <v>590</v>
      </c>
      <c r="X33" s="25"/>
      <c r="Y33" s="60"/>
    </row>
    <row r="34" spans="1:25" x14ac:dyDescent="0.25">
      <c r="A34" s="25"/>
      <c r="C34" s="45" t="s">
        <v>287</v>
      </c>
      <c r="D34" s="25">
        <v>215</v>
      </c>
      <c r="E34" s="25" t="s">
        <v>78</v>
      </c>
      <c r="F34" s="26">
        <v>4.1041666666666664E-2</v>
      </c>
      <c r="H34" s="26">
        <v>4.2303240740740738E-2</v>
      </c>
      <c r="I34" s="26">
        <v>4.3206018518518519E-2</v>
      </c>
      <c r="J34" s="26">
        <v>4.7511574074074074E-2</v>
      </c>
      <c r="K34" s="26">
        <v>4.988425925925926E-2</v>
      </c>
      <c r="L34" s="26">
        <v>5.3067129629629638E-2</v>
      </c>
      <c r="M34" s="26">
        <v>5.6655092592592597E-2</v>
      </c>
      <c r="N34" s="26">
        <v>5.9606481481481483E-2</v>
      </c>
      <c r="O34" s="26">
        <v>6.475694444444445E-2</v>
      </c>
      <c r="P34" s="26">
        <v>6.8611111111111109E-2</v>
      </c>
      <c r="Q34" s="26">
        <v>7.228009259259259E-2</v>
      </c>
      <c r="R34" s="26">
        <v>7.5127314814814813E-2</v>
      </c>
      <c r="S34" s="26">
        <f t="shared" ref="S34" si="4">F33+F34</f>
        <v>7.5914351851851858E-2</v>
      </c>
      <c r="U34" s="44" t="s">
        <v>566</v>
      </c>
      <c r="V34" s="44" t="s">
        <v>512</v>
      </c>
      <c r="W34" s="44" t="s">
        <v>577</v>
      </c>
      <c r="X34" s="25"/>
      <c r="Y34" s="60"/>
    </row>
    <row r="35" spans="1:25" x14ac:dyDescent="0.25">
      <c r="A35" s="25"/>
      <c r="C35" s="45" t="s">
        <v>233</v>
      </c>
      <c r="D35" s="25">
        <v>315</v>
      </c>
      <c r="E35" s="25" t="s">
        <v>78</v>
      </c>
      <c r="F35" s="26">
        <v>3.7326388888888888E-2</v>
      </c>
      <c r="H35" s="26">
        <v>7.8993055555555566E-2</v>
      </c>
      <c r="I35" s="26">
        <v>8.1909722222222217E-2</v>
      </c>
      <c r="J35" s="26">
        <v>8.6562500000000001E-2</v>
      </c>
      <c r="K35" s="26">
        <v>9.3657407407407411E-2</v>
      </c>
      <c r="L35" s="26">
        <v>9.4733796296296302E-2</v>
      </c>
      <c r="M35" s="26">
        <v>9.8194444444444431E-2</v>
      </c>
      <c r="N35" s="26">
        <v>0.10046296296296296</v>
      </c>
      <c r="O35" s="26">
        <v>0.10381944444444445</v>
      </c>
      <c r="P35" s="26">
        <v>0.10752314814814816</v>
      </c>
      <c r="Q35" s="26">
        <v>0.10989583333333335</v>
      </c>
      <c r="R35" s="26">
        <v>0.11252314814814814</v>
      </c>
      <c r="S35" s="26">
        <f t="shared" ref="S35" si="5">F33+F34+F35</f>
        <v>0.11324074074074075</v>
      </c>
      <c r="U35" s="44" t="s">
        <v>567</v>
      </c>
      <c r="V35" s="44" t="s">
        <v>513</v>
      </c>
      <c r="W35" s="44" t="s">
        <v>601</v>
      </c>
    </row>
    <row r="36" spans="1:25" x14ac:dyDescent="0.25">
      <c r="A36" s="25"/>
      <c r="C36" s="45" t="s">
        <v>236</v>
      </c>
      <c r="D36" s="25">
        <v>415</v>
      </c>
      <c r="E36" s="25" t="s">
        <v>78</v>
      </c>
      <c r="F36" s="26">
        <v>4.2337962962962966E-2</v>
      </c>
      <c r="H36" s="26">
        <v>0.12158564814814815</v>
      </c>
      <c r="I36" s="26">
        <v>0.12436342592592593</v>
      </c>
      <c r="J36" s="26">
        <v>0.13153935185185187</v>
      </c>
      <c r="K36" s="26">
        <v>0.13478009259259258</v>
      </c>
      <c r="L36" s="26">
        <v>0.13909722222222223</v>
      </c>
      <c r="M36" s="26">
        <v>0.14052083333333334</v>
      </c>
      <c r="N36" s="26">
        <v>0.14295138888888889</v>
      </c>
      <c r="O36" s="26">
        <v>0.14542824074074076</v>
      </c>
      <c r="P36" s="26">
        <v>0.14880787037037038</v>
      </c>
      <c r="Q36" s="26">
        <v>0.15228009259259259</v>
      </c>
      <c r="R36" s="26">
        <v>0.15491898148148148</v>
      </c>
      <c r="S36" s="26">
        <f t="shared" ref="S36" si="6">F33+F34+F35+F36</f>
        <v>0.15557870370370372</v>
      </c>
      <c r="U36" s="44" t="s">
        <v>568</v>
      </c>
      <c r="V36" s="44" t="s">
        <v>514</v>
      </c>
      <c r="W36" s="44" t="s">
        <v>595</v>
      </c>
    </row>
    <row r="37" spans="1:25" x14ac:dyDescent="0.25">
      <c r="A37" s="25"/>
    </row>
    <row r="38" spans="1:25" x14ac:dyDescent="0.25">
      <c r="D38" s="44"/>
      <c r="E38" s="44"/>
      <c r="F38" s="44"/>
      <c r="H38" s="26">
        <f>H33</f>
        <v>4.108796296296297E-3</v>
      </c>
      <c r="I38" s="26">
        <f>I33-H33</f>
        <v>2.4884259259259252E-3</v>
      </c>
      <c r="J38" s="26">
        <f t="shared" ref="J38:S38" si="7">J33-I33</f>
        <v>4.4444444444444444E-3</v>
      </c>
      <c r="K38" s="26">
        <f t="shared" si="7"/>
        <v>3.3101851851851851E-3</v>
      </c>
      <c r="L38" s="26">
        <f t="shared" si="7"/>
        <v>2.3148148148148147E-3</v>
      </c>
      <c r="M38" s="26">
        <f t="shared" si="7"/>
        <v>1.6435185185185198E-3</v>
      </c>
      <c r="N38" s="26">
        <f t="shared" si="7"/>
        <v>2.4768518518518516E-3</v>
      </c>
      <c r="O38" s="26">
        <f t="shared" si="7"/>
        <v>4.4444444444444453E-3</v>
      </c>
      <c r="P38" s="26">
        <f t="shared" si="7"/>
        <v>2.7777777777777783E-3</v>
      </c>
      <c r="Q38" s="26">
        <f t="shared" si="7"/>
        <v>3.2407407407407385E-3</v>
      </c>
      <c r="R38" s="26">
        <f t="shared" si="7"/>
        <v>2.986111111111113E-3</v>
      </c>
      <c r="S38" s="26">
        <f t="shared" si="7"/>
        <v>6.3657407407407413E-4</v>
      </c>
    </row>
    <row r="39" spans="1:25" x14ac:dyDescent="0.25">
      <c r="D39" s="44"/>
      <c r="E39" s="44"/>
      <c r="F39" s="44"/>
      <c r="H39" s="26">
        <f>H34-S33</f>
        <v>7.4305555555555514E-3</v>
      </c>
      <c r="I39" s="26">
        <f t="shared" ref="I39:S41" si="8">I34-H34</f>
        <v>9.0277777777778012E-4</v>
      </c>
      <c r="J39" s="26">
        <f t="shared" si="8"/>
        <v>4.3055555555555555E-3</v>
      </c>
      <c r="K39" s="26">
        <f t="shared" si="8"/>
        <v>2.372685185185186E-3</v>
      </c>
      <c r="L39" s="26">
        <f t="shared" si="8"/>
        <v>3.1828703703703776E-3</v>
      </c>
      <c r="M39" s="26">
        <f t="shared" si="8"/>
        <v>3.5879629629629595E-3</v>
      </c>
      <c r="N39" s="26">
        <f t="shared" si="8"/>
        <v>2.9513888888888853E-3</v>
      </c>
      <c r="O39" s="26">
        <f t="shared" si="8"/>
        <v>5.1504629629629678E-3</v>
      </c>
      <c r="P39" s="26">
        <f t="shared" si="8"/>
        <v>3.8541666666666585E-3</v>
      </c>
      <c r="Q39" s="26">
        <f t="shared" si="8"/>
        <v>3.6689814814814814E-3</v>
      </c>
      <c r="R39" s="26">
        <f t="shared" si="8"/>
        <v>2.8472222222222232E-3</v>
      </c>
      <c r="S39" s="26">
        <f t="shared" si="8"/>
        <v>7.8703703703704442E-4</v>
      </c>
    </row>
    <row r="40" spans="1:25" x14ac:dyDescent="0.25">
      <c r="D40" s="44"/>
      <c r="E40" s="44"/>
      <c r="F40" s="44"/>
      <c r="H40" s="26">
        <f t="shared" ref="H40:H41" si="9">H35-S34</f>
        <v>3.0787037037037085E-3</v>
      </c>
      <c r="I40" s="26">
        <f t="shared" si="8"/>
        <v>2.9166666666666508E-3</v>
      </c>
      <c r="J40" s="26">
        <f t="shared" si="8"/>
        <v>4.6527777777777835E-3</v>
      </c>
      <c r="K40" s="26">
        <f t="shared" si="8"/>
        <v>7.0949074074074109E-3</v>
      </c>
      <c r="L40" s="26">
        <f t="shared" si="8"/>
        <v>1.0763888888888906E-3</v>
      </c>
      <c r="M40" s="26">
        <f t="shared" si="8"/>
        <v>3.4606481481481294E-3</v>
      </c>
      <c r="N40" s="26">
        <f t="shared" si="8"/>
        <v>2.2685185185185308E-3</v>
      </c>
      <c r="O40" s="26">
        <f t="shared" si="8"/>
        <v>3.3564814814814881E-3</v>
      </c>
      <c r="P40" s="26">
        <f t="shared" si="8"/>
        <v>3.703703703703709E-3</v>
      </c>
      <c r="Q40" s="26">
        <f t="shared" si="8"/>
        <v>2.372685185185186E-3</v>
      </c>
      <c r="R40" s="26">
        <f t="shared" si="8"/>
        <v>2.6273148148147907E-3</v>
      </c>
      <c r="S40" s="26">
        <f t="shared" si="8"/>
        <v>7.1759259259261687E-4</v>
      </c>
    </row>
    <row r="41" spans="1:25" x14ac:dyDescent="0.25">
      <c r="D41" s="44"/>
      <c r="E41" s="44"/>
      <c r="F41" s="44"/>
      <c r="H41" s="26">
        <f t="shared" si="9"/>
        <v>8.3449074074073981E-3</v>
      </c>
      <c r="I41" s="26">
        <f t="shared" si="8"/>
        <v>2.7777777777777818E-3</v>
      </c>
      <c r="J41" s="26">
        <f t="shared" si="8"/>
        <v>7.1759259259259328E-3</v>
      </c>
      <c r="K41" s="26">
        <f t="shared" si="8"/>
        <v>3.2407407407407107E-3</v>
      </c>
      <c r="L41" s="26">
        <f t="shared" si="8"/>
        <v>4.3171296296296569E-3</v>
      </c>
      <c r="M41" s="26">
        <f t="shared" si="8"/>
        <v>1.4236111111111116E-3</v>
      </c>
      <c r="N41" s="26">
        <f t="shared" si="8"/>
        <v>2.4305555555555469E-3</v>
      </c>
      <c r="O41" s="26">
        <f t="shared" si="8"/>
        <v>2.476851851851869E-3</v>
      </c>
      <c r="P41" s="26">
        <f t="shared" si="8"/>
        <v>3.3796296296296213E-3</v>
      </c>
      <c r="Q41" s="26">
        <f t="shared" si="8"/>
        <v>3.4722222222222099E-3</v>
      </c>
      <c r="R41" s="26">
        <f t="shared" si="8"/>
        <v>2.6388888888888851E-3</v>
      </c>
      <c r="S41" s="26">
        <f t="shared" si="8"/>
        <v>6.5972222222224208E-4</v>
      </c>
    </row>
    <row r="42" spans="1:25" x14ac:dyDescent="0.25">
      <c r="D42" s="44"/>
      <c r="E42" s="44"/>
      <c r="F42" s="44"/>
    </row>
    <row r="43" spans="1:25" x14ac:dyDescent="0.25">
      <c r="A43" s="25">
        <v>3</v>
      </c>
      <c r="B43" s="24" t="s">
        <v>13</v>
      </c>
      <c r="C43" s="45" t="s">
        <v>223</v>
      </c>
      <c r="D43" s="25">
        <v>119</v>
      </c>
      <c r="E43" s="25" t="s">
        <v>78</v>
      </c>
      <c r="F43" s="26">
        <v>3.5752314814814813E-2</v>
      </c>
      <c r="H43" s="26">
        <v>4.108796296296297E-3</v>
      </c>
      <c r="I43" s="26">
        <v>6.828703703703704E-3</v>
      </c>
      <c r="J43" s="26">
        <v>1.1111111111111112E-2</v>
      </c>
      <c r="K43" s="26">
        <v>1.4236111111111111E-2</v>
      </c>
      <c r="L43" s="26">
        <v>1.6782407407407409E-2</v>
      </c>
      <c r="M43" s="26">
        <v>1.954861111111111E-2</v>
      </c>
      <c r="N43" s="26">
        <v>2.1585648148148145E-2</v>
      </c>
      <c r="O43" s="26">
        <v>2.5381944444444443E-2</v>
      </c>
      <c r="P43" s="26">
        <v>2.9166666666666664E-2</v>
      </c>
      <c r="Q43" s="26">
        <v>3.2094907407407412E-2</v>
      </c>
      <c r="R43" s="26">
        <v>3.5069444444444445E-2</v>
      </c>
      <c r="S43" s="26">
        <f t="shared" ref="S43" si="10">F43</f>
        <v>3.5752314814814813E-2</v>
      </c>
      <c r="U43" s="44" t="s">
        <v>560</v>
      </c>
      <c r="V43" s="44" t="s">
        <v>515</v>
      </c>
      <c r="W43" s="44" t="s">
        <v>585</v>
      </c>
    </row>
    <row r="44" spans="1:25" x14ac:dyDescent="0.25">
      <c r="A44" s="25"/>
      <c r="C44" s="45" t="s">
        <v>264</v>
      </c>
      <c r="D44" s="25">
        <v>219</v>
      </c>
      <c r="E44" s="25" t="s">
        <v>78</v>
      </c>
      <c r="F44" s="26">
        <v>4.0370370370370369E-2</v>
      </c>
      <c r="G44" s="45"/>
      <c r="H44" s="26">
        <v>4.2476851851851849E-2</v>
      </c>
      <c r="I44" s="26">
        <v>4.3946759259259255E-2</v>
      </c>
      <c r="J44" s="26">
        <v>4.8587962962962965E-2</v>
      </c>
      <c r="K44" s="26">
        <v>5.2604166666666667E-2</v>
      </c>
      <c r="L44" s="26">
        <v>5.4340277777777779E-2</v>
      </c>
      <c r="M44" s="26">
        <v>5.7326388888888892E-2</v>
      </c>
      <c r="N44" s="26">
        <v>6.0185185185185182E-2</v>
      </c>
      <c r="O44" s="26">
        <v>6.5833333333333341E-2</v>
      </c>
      <c r="P44" s="26">
        <v>6.8900462962962969E-2</v>
      </c>
      <c r="Q44" s="26">
        <v>7.2291666666666657E-2</v>
      </c>
      <c r="R44" s="26">
        <v>7.5416666666666674E-2</v>
      </c>
      <c r="S44" s="26">
        <f t="shared" ref="S44" si="11">F43+F44</f>
        <v>7.6122685185185182E-2</v>
      </c>
      <c r="U44" s="44" t="s">
        <v>561</v>
      </c>
      <c r="V44" s="44" t="s">
        <v>564</v>
      </c>
      <c r="W44" s="44" t="s">
        <v>602</v>
      </c>
    </row>
    <row r="45" spans="1:25" x14ac:dyDescent="0.25">
      <c r="A45" s="25"/>
      <c r="B45" s="24"/>
      <c r="C45" s="45" t="s">
        <v>220</v>
      </c>
      <c r="D45" s="25">
        <v>319</v>
      </c>
      <c r="E45" s="25" t="s">
        <v>78</v>
      </c>
      <c r="F45" s="26">
        <v>4.5439814814814815E-2</v>
      </c>
      <c r="G45" s="45"/>
      <c r="H45" s="26">
        <v>8.0358796296296289E-2</v>
      </c>
      <c r="I45" s="26">
        <v>8.3657407407407403E-2</v>
      </c>
      <c r="J45" s="26">
        <v>9.3692129629629625E-2</v>
      </c>
      <c r="K45" s="26">
        <v>9.600694444444445E-2</v>
      </c>
      <c r="L45" s="26">
        <v>9.9814814814814815E-2</v>
      </c>
      <c r="M45" s="26">
        <v>0.10165509259259259</v>
      </c>
      <c r="N45" s="26">
        <v>0.10508101851851852</v>
      </c>
      <c r="O45" s="26">
        <v>0.10908564814814814</v>
      </c>
      <c r="P45" s="26">
        <v>0.11392361111111111</v>
      </c>
      <c r="Q45" s="26">
        <v>0.11770833333333335</v>
      </c>
      <c r="R45" s="26">
        <v>0.12086805555555556</v>
      </c>
      <c r="S45" s="26">
        <f t="shared" ref="S45" si="12">F43+F44+F45</f>
        <v>0.12156249999999999</v>
      </c>
      <c r="U45" s="44" t="s">
        <v>562</v>
      </c>
      <c r="V45" s="44" t="s">
        <v>516</v>
      </c>
      <c r="W45" s="44" t="s">
        <v>578</v>
      </c>
    </row>
    <row r="46" spans="1:25" x14ac:dyDescent="0.25">
      <c r="A46" s="25"/>
      <c r="B46" s="24"/>
      <c r="C46" s="45" t="s">
        <v>219</v>
      </c>
      <c r="D46" s="25">
        <v>419</v>
      </c>
      <c r="E46" s="25" t="s">
        <v>78</v>
      </c>
      <c r="F46" s="26">
        <v>3.4791666666666672E-2</v>
      </c>
      <c r="G46" s="45"/>
      <c r="H46" s="66">
        <v>0.1275462962962963</v>
      </c>
      <c r="I46" s="26">
        <v>0.1295138888888889</v>
      </c>
      <c r="J46" s="26">
        <v>0.13315972222222222</v>
      </c>
      <c r="K46" s="26">
        <v>0.13619212962962965</v>
      </c>
      <c r="L46" s="26">
        <v>0.13912037037037037</v>
      </c>
      <c r="M46" s="26">
        <v>0.14052083333333334</v>
      </c>
      <c r="N46" s="26">
        <v>0.14340277777777777</v>
      </c>
      <c r="O46" s="26">
        <v>0.14560185185185184</v>
      </c>
      <c r="P46" s="26">
        <v>0.14895833333333333</v>
      </c>
      <c r="Q46" s="26">
        <v>0.15226851851851853</v>
      </c>
      <c r="R46" s="26">
        <v>0.15563657407407408</v>
      </c>
      <c r="S46" s="26">
        <f t="shared" ref="S46" si="13">F43+F44+F45+F46</f>
        <v>0.15635416666666666</v>
      </c>
      <c r="U46" s="44" t="s">
        <v>563</v>
      </c>
      <c r="V46" s="44" t="s">
        <v>517</v>
      </c>
      <c r="W46" s="44" t="s">
        <v>596</v>
      </c>
    </row>
    <row r="47" spans="1:25" x14ac:dyDescent="0.25">
      <c r="A47" s="25"/>
      <c r="B47" s="24"/>
      <c r="G47" s="45"/>
    </row>
    <row r="48" spans="1:25" x14ac:dyDescent="0.25">
      <c r="D48" s="44"/>
      <c r="E48" s="44"/>
      <c r="F48" s="44"/>
      <c r="H48" s="26">
        <f>H43</f>
        <v>4.108796296296297E-3</v>
      </c>
      <c r="I48" s="26">
        <f>I43-H43</f>
        <v>2.719907407407407E-3</v>
      </c>
      <c r="J48" s="26">
        <f t="shared" ref="J48:S48" si="14">J43-I43</f>
        <v>4.2824074074074075E-3</v>
      </c>
      <c r="K48" s="26">
        <f t="shared" si="14"/>
        <v>3.1249999999999993E-3</v>
      </c>
      <c r="L48" s="26">
        <f t="shared" si="14"/>
        <v>2.5462962962962982E-3</v>
      </c>
      <c r="M48" s="26">
        <f t="shared" si="14"/>
        <v>2.7662037037037013E-3</v>
      </c>
      <c r="N48" s="26">
        <f t="shared" si="14"/>
        <v>2.0370370370370351E-3</v>
      </c>
      <c r="O48" s="26">
        <f t="shared" si="14"/>
        <v>3.7962962962962976E-3</v>
      </c>
      <c r="P48" s="26">
        <f t="shared" si="14"/>
        <v>3.7847222222222206E-3</v>
      </c>
      <c r="Q48" s="26">
        <f t="shared" si="14"/>
        <v>2.9282407407407486E-3</v>
      </c>
      <c r="R48" s="26">
        <f t="shared" si="14"/>
        <v>2.9745370370370325E-3</v>
      </c>
      <c r="S48" s="26">
        <f t="shared" si="14"/>
        <v>6.8287037037036841E-4</v>
      </c>
      <c r="T48" s="69"/>
    </row>
    <row r="49" spans="1:23" x14ac:dyDescent="0.25">
      <c r="D49" s="44"/>
      <c r="E49" s="44"/>
      <c r="F49" s="44"/>
      <c r="H49" s="26">
        <f>H44-S43</f>
        <v>6.7245370370370358E-3</v>
      </c>
      <c r="I49" s="26">
        <f t="shared" ref="I49:S51" si="15">I44-H44</f>
        <v>1.4699074074074059E-3</v>
      </c>
      <c r="J49" s="26">
        <f t="shared" si="15"/>
        <v>4.6412037037037099E-3</v>
      </c>
      <c r="K49" s="26">
        <f t="shared" si="15"/>
        <v>4.0162037037037024E-3</v>
      </c>
      <c r="L49" s="26">
        <f t="shared" si="15"/>
        <v>1.7361111111111119E-3</v>
      </c>
      <c r="M49" s="26">
        <f t="shared" si="15"/>
        <v>2.986111111111113E-3</v>
      </c>
      <c r="N49" s="26">
        <f t="shared" si="15"/>
        <v>2.8587962962962898E-3</v>
      </c>
      <c r="O49" s="26">
        <f t="shared" si="15"/>
        <v>5.6481481481481591E-3</v>
      </c>
      <c r="P49" s="26">
        <f t="shared" si="15"/>
        <v>3.067129629629628E-3</v>
      </c>
      <c r="Q49" s="26">
        <f t="shared" si="15"/>
        <v>3.391203703703688E-3</v>
      </c>
      <c r="R49" s="26">
        <f t="shared" si="15"/>
        <v>3.1250000000000167E-3</v>
      </c>
      <c r="S49" s="26">
        <f t="shared" si="15"/>
        <v>7.0601851851850861E-4</v>
      </c>
      <c r="T49" s="69"/>
    </row>
    <row r="50" spans="1:23" x14ac:dyDescent="0.25">
      <c r="D50" s="44"/>
      <c r="E50" s="44"/>
      <c r="F50" s="44"/>
      <c r="H50" s="26">
        <f t="shared" ref="H50:H51" si="16">H45-S44</f>
        <v>4.2361111111111072E-3</v>
      </c>
      <c r="I50" s="26">
        <f t="shared" si="15"/>
        <v>3.2986111111111133E-3</v>
      </c>
      <c r="J50" s="26">
        <f t="shared" si="15"/>
        <v>1.0034722222222223E-2</v>
      </c>
      <c r="K50" s="26">
        <f t="shared" si="15"/>
        <v>2.3148148148148251E-3</v>
      </c>
      <c r="L50" s="26">
        <f t="shared" si="15"/>
        <v>3.8078703703703642E-3</v>
      </c>
      <c r="M50" s="26">
        <f t="shared" si="15"/>
        <v>1.840277777777774E-3</v>
      </c>
      <c r="N50" s="26">
        <f t="shared" si="15"/>
        <v>3.4259259259259295E-3</v>
      </c>
      <c r="O50" s="26">
        <f t="shared" si="15"/>
        <v>4.0046296296296219E-3</v>
      </c>
      <c r="P50" s="26">
        <f t="shared" si="15"/>
        <v>4.8379629629629745E-3</v>
      </c>
      <c r="Q50" s="26">
        <f t="shared" si="15"/>
        <v>3.784722222222231E-3</v>
      </c>
      <c r="R50" s="26">
        <f t="shared" si="15"/>
        <v>3.1597222222222165E-3</v>
      </c>
      <c r="S50" s="26">
        <f t="shared" si="15"/>
        <v>6.944444444444281E-4</v>
      </c>
      <c r="T50" s="69"/>
    </row>
    <row r="51" spans="1:23" x14ac:dyDescent="0.25">
      <c r="D51" s="44"/>
      <c r="E51" s="44"/>
      <c r="F51" s="44"/>
      <c r="H51" s="26">
        <f t="shared" si="16"/>
        <v>5.9837962962963065E-3</v>
      </c>
      <c r="I51" s="26">
        <f t="shared" si="15"/>
        <v>1.9675925925926041E-3</v>
      </c>
      <c r="J51" s="26">
        <f t="shared" si="15"/>
        <v>3.6458333333333204E-3</v>
      </c>
      <c r="K51" s="26">
        <f t="shared" si="15"/>
        <v>3.0324074074074281E-3</v>
      </c>
      <c r="L51" s="26">
        <f t="shared" si="15"/>
        <v>2.9282407407407174E-3</v>
      </c>
      <c r="M51" s="26">
        <f t="shared" si="15"/>
        <v>1.4004629629629783E-3</v>
      </c>
      <c r="N51" s="26">
        <f t="shared" si="15"/>
        <v>2.8819444444444231E-3</v>
      </c>
      <c r="O51" s="26">
        <f t="shared" si="15"/>
        <v>2.1990740740740755E-3</v>
      </c>
      <c r="P51" s="26">
        <f t="shared" si="15"/>
        <v>3.3564814814814881E-3</v>
      </c>
      <c r="Q51" s="26">
        <f t="shared" si="15"/>
        <v>3.3101851851851938E-3</v>
      </c>
      <c r="R51" s="26">
        <f t="shared" si="15"/>
        <v>3.3680555555555547E-3</v>
      </c>
      <c r="S51" s="26">
        <f t="shared" si="15"/>
        <v>7.1759259259257524E-4</v>
      </c>
      <c r="T51" s="69"/>
    </row>
    <row r="52" spans="1:23" x14ac:dyDescent="0.25">
      <c r="D52" s="44"/>
      <c r="E52" s="44"/>
      <c r="F52" s="44"/>
    </row>
    <row r="53" spans="1:23" x14ac:dyDescent="0.25">
      <c r="A53" s="25">
        <v>4</v>
      </c>
      <c r="B53" s="24" t="s">
        <v>40</v>
      </c>
      <c r="C53" s="45" t="s">
        <v>265</v>
      </c>
      <c r="D53" s="25">
        <v>116</v>
      </c>
      <c r="E53" s="25" t="s">
        <v>78</v>
      </c>
      <c r="F53" s="26">
        <v>3.9780092592592589E-2</v>
      </c>
      <c r="G53" s="45"/>
      <c r="H53" s="26">
        <v>4.6874999999999998E-3</v>
      </c>
      <c r="I53" s="26">
        <v>1.0127314814814815E-2</v>
      </c>
      <c r="J53" s="26">
        <v>1.3472222222222221E-2</v>
      </c>
      <c r="K53" s="26">
        <v>1.6898148148148148E-2</v>
      </c>
      <c r="L53" s="26">
        <v>2.0625000000000001E-2</v>
      </c>
      <c r="M53" s="26">
        <v>2.3541666666666666E-2</v>
      </c>
      <c r="N53" s="26">
        <v>2.5578703703703704E-2</v>
      </c>
      <c r="O53" s="26">
        <v>2.9201388888888888E-2</v>
      </c>
      <c r="P53" s="26">
        <v>3.3240740740740744E-2</v>
      </c>
      <c r="Q53" s="26">
        <v>3.577546296296296E-2</v>
      </c>
      <c r="R53" s="26">
        <v>3.9120370370370368E-2</v>
      </c>
      <c r="S53" s="26">
        <f t="shared" ref="S53" si="17">F53</f>
        <v>3.9780092592592589E-2</v>
      </c>
      <c r="U53" s="44" t="s">
        <v>549</v>
      </c>
      <c r="V53" s="44" t="s">
        <v>518</v>
      </c>
      <c r="W53" s="44" t="s">
        <v>586</v>
      </c>
    </row>
    <row r="54" spans="1:23" x14ac:dyDescent="0.25">
      <c r="A54" s="25"/>
      <c r="C54" s="45" t="s">
        <v>227</v>
      </c>
      <c r="D54" s="25">
        <v>216</v>
      </c>
      <c r="E54" s="25" t="s">
        <v>78</v>
      </c>
      <c r="F54" s="26">
        <v>5.2187499999999998E-2</v>
      </c>
      <c r="H54" s="26">
        <v>4.5752314814814815E-2</v>
      </c>
      <c r="I54" s="26">
        <v>4.9409722222222223E-2</v>
      </c>
      <c r="J54" s="26">
        <v>5.4375E-2</v>
      </c>
      <c r="K54" s="26">
        <v>6.2442129629629632E-2</v>
      </c>
      <c r="L54" s="26">
        <v>6.7418981481481483E-2</v>
      </c>
      <c r="M54" s="26">
        <v>7.0625000000000007E-2</v>
      </c>
      <c r="N54" s="26">
        <v>7.3703703703703702E-2</v>
      </c>
      <c r="O54" s="26">
        <v>7.9027777777777766E-2</v>
      </c>
      <c r="P54" s="26">
        <v>8.4409722222222219E-2</v>
      </c>
      <c r="Q54" s="26">
        <v>8.8368055555555547E-2</v>
      </c>
      <c r="R54" s="26">
        <v>9.1319444444444453E-2</v>
      </c>
      <c r="S54" s="26">
        <f t="shared" ref="S54" si="18">F53+F54</f>
        <v>9.1967592592592587E-2</v>
      </c>
      <c r="U54" s="44" t="s">
        <v>557</v>
      </c>
      <c r="V54" s="44" t="s">
        <v>519</v>
      </c>
      <c r="W54" s="44" t="s">
        <v>603</v>
      </c>
    </row>
    <row r="55" spans="1:23" x14ac:dyDescent="0.25">
      <c r="A55" s="25"/>
      <c r="B55" s="24"/>
      <c r="C55" s="45" t="s">
        <v>225</v>
      </c>
      <c r="D55" s="25">
        <v>316</v>
      </c>
      <c r="E55" s="25" t="s">
        <v>78</v>
      </c>
      <c r="F55" s="26">
        <v>4.1678240740740745E-2</v>
      </c>
      <c r="H55" s="26">
        <v>9.8321759259259248E-2</v>
      </c>
      <c r="I55" s="26">
        <v>0.10028935185185185</v>
      </c>
      <c r="J55" s="26">
        <v>0.10734953703703703</v>
      </c>
      <c r="K55" s="26">
        <v>0.11215277777777777</v>
      </c>
      <c r="L55" s="26">
        <v>0.11550925925925926</v>
      </c>
      <c r="M55" s="26">
        <v>0.11684027777777778</v>
      </c>
      <c r="N55" s="26">
        <v>0.12019675925925927</v>
      </c>
      <c r="O55" s="26">
        <v>0.12378472222222221</v>
      </c>
      <c r="P55" s="26">
        <v>0.12668981481481481</v>
      </c>
      <c r="Q55" s="26">
        <v>0.12997685185185184</v>
      </c>
      <c r="R55" s="26">
        <v>0.13295138888888888</v>
      </c>
      <c r="S55" s="26">
        <f t="shared" ref="S55" si="19">F53+F54+F55</f>
        <v>0.13364583333333332</v>
      </c>
      <c r="U55" s="44" t="s">
        <v>558</v>
      </c>
      <c r="V55" s="44" t="s">
        <v>520</v>
      </c>
      <c r="W55" s="44" t="s">
        <v>579</v>
      </c>
    </row>
    <row r="56" spans="1:23" x14ac:dyDescent="0.25">
      <c r="A56" s="25"/>
      <c r="C56" s="45" t="s">
        <v>217</v>
      </c>
      <c r="D56" s="25">
        <v>416</v>
      </c>
      <c r="E56" s="25" t="s">
        <v>78</v>
      </c>
      <c r="F56" s="26">
        <v>3.4826388888888886E-2</v>
      </c>
      <c r="H56" s="26">
        <v>0.13803240740740741</v>
      </c>
      <c r="I56" s="26">
        <v>0.14108796296296297</v>
      </c>
      <c r="J56" s="26">
        <v>0.14519675925925926</v>
      </c>
      <c r="K56" s="26">
        <v>0.14799768518518519</v>
      </c>
      <c r="L56" s="26">
        <v>0.15</v>
      </c>
      <c r="M56" s="26">
        <v>0.15127314814814816</v>
      </c>
      <c r="N56" s="26">
        <v>0.15671296296296297</v>
      </c>
      <c r="O56" s="26">
        <v>0.15868055555555557</v>
      </c>
      <c r="P56" s="26">
        <v>0.16168981481481481</v>
      </c>
      <c r="Q56" s="26">
        <v>0.16495370370370369</v>
      </c>
      <c r="R56" s="26">
        <v>0.16780092592592591</v>
      </c>
      <c r="S56" s="26">
        <f t="shared" ref="S56" si="20">F53+F54+F55+F56</f>
        <v>0.16847222222222222</v>
      </c>
      <c r="U56" s="44" t="s">
        <v>559</v>
      </c>
      <c r="V56" s="44" t="s">
        <v>521</v>
      </c>
      <c r="W56" s="44" t="s">
        <v>597</v>
      </c>
    </row>
    <row r="57" spans="1:23" x14ac:dyDescent="0.25">
      <c r="A57" s="25"/>
      <c r="B57" s="24"/>
    </row>
    <row r="58" spans="1:23" x14ac:dyDescent="0.25">
      <c r="D58" s="44"/>
      <c r="E58" s="44"/>
      <c r="F58" s="44"/>
      <c r="H58" s="26">
        <f>H53</f>
        <v>4.6874999999999998E-3</v>
      </c>
      <c r="I58" s="26">
        <f>I53-H53</f>
        <v>5.4398148148148149E-3</v>
      </c>
      <c r="J58" s="26">
        <f t="shared" ref="J58:S58" si="21">J53-I53</f>
        <v>3.3449074074074058E-3</v>
      </c>
      <c r="K58" s="26">
        <f t="shared" si="21"/>
        <v>3.4259259259259277E-3</v>
      </c>
      <c r="L58" s="26">
        <f t="shared" si="21"/>
        <v>3.7268518518518527E-3</v>
      </c>
      <c r="M58" s="26">
        <f t="shared" si="21"/>
        <v>2.9166666666666646E-3</v>
      </c>
      <c r="N58" s="26">
        <f t="shared" si="21"/>
        <v>2.0370370370370386E-3</v>
      </c>
      <c r="O58" s="26">
        <f t="shared" si="21"/>
        <v>3.6226851851851836E-3</v>
      </c>
      <c r="P58" s="26">
        <f t="shared" si="21"/>
        <v>4.0393518518518565E-3</v>
      </c>
      <c r="Q58" s="26">
        <f t="shared" si="21"/>
        <v>2.534722222222216E-3</v>
      </c>
      <c r="R58" s="26">
        <f t="shared" si="21"/>
        <v>3.3449074074074076E-3</v>
      </c>
      <c r="S58" s="26">
        <f t="shared" si="21"/>
        <v>6.5972222222222127E-4</v>
      </c>
    </row>
    <row r="59" spans="1:23" x14ac:dyDescent="0.25">
      <c r="D59" s="44"/>
      <c r="E59" s="44"/>
      <c r="F59" s="44"/>
      <c r="G59" s="45"/>
      <c r="H59" s="26">
        <f>H54-S53</f>
        <v>5.972222222222226E-3</v>
      </c>
      <c r="I59" s="26">
        <f t="shared" ref="I59:S61" si="22">I54-H54</f>
        <v>3.6574074074074078E-3</v>
      </c>
      <c r="J59" s="26">
        <f t="shared" si="22"/>
        <v>4.9652777777777768E-3</v>
      </c>
      <c r="K59" s="26">
        <f t="shared" si="22"/>
        <v>8.0671296296296324E-3</v>
      </c>
      <c r="L59" s="26">
        <f t="shared" si="22"/>
        <v>4.9768518518518504E-3</v>
      </c>
      <c r="M59" s="26">
        <f t="shared" si="22"/>
        <v>3.2060185185185247E-3</v>
      </c>
      <c r="N59" s="26">
        <f t="shared" si="22"/>
        <v>3.0787037037036946E-3</v>
      </c>
      <c r="O59" s="26">
        <f t="shared" si="22"/>
        <v>5.3240740740740644E-3</v>
      </c>
      <c r="P59" s="26">
        <f t="shared" si="22"/>
        <v>5.3819444444444531E-3</v>
      </c>
      <c r="Q59" s="26">
        <f t="shared" si="22"/>
        <v>3.9583333333333276E-3</v>
      </c>
      <c r="R59" s="26">
        <f t="shared" si="22"/>
        <v>2.9513888888889062E-3</v>
      </c>
      <c r="S59" s="26">
        <f t="shared" si="22"/>
        <v>6.4814814814813382E-4</v>
      </c>
    </row>
    <row r="60" spans="1:23" x14ac:dyDescent="0.25">
      <c r="D60" s="44"/>
      <c r="E60" s="44"/>
      <c r="F60" s="44"/>
      <c r="G60" s="45"/>
      <c r="H60" s="26">
        <f t="shared" ref="H60:H61" si="23">H55-S54</f>
        <v>6.3541666666666607E-3</v>
      </c>
      <c r="I60" s="26">
        <f t="shared" si="22"/>
        <v>1.9675925925926041E-3</v>
      </c>
      <c r="J60" s="26">
        <f t="shared" si="22"/>
        <v>7.0601851851851832E-3</v>
      </c>
      <c r="K60" s="26">
        <f t="shared" si="22"/>
        <v>4.8032407407407329E-3</v>
      </c>
      <c r="L60" s="26">
        <f t="shared" si="22"/>
        <v>3.3564814814814881E-3</v>
      </c>
      <c r="M60" s="26">
        <f t="shared" si="22"/>
        <v>1.331018518518523E-3</v>
      </c>
      <c r="N60" s="26">
        <f t="shared" si="22"/>
        <v>3.3564814814814881E-3</v>
      </c>
      <c r="O60" s="26">
        <f t="shared" si="22"/>
        <v>3.5879629629629456E-3</v>
      </c>
      <c r="P60" s="26">
        <f t="shared" si="22"/>
        <v>2.905092592592598E-3</v>
      </c>
      <c r="Q60" s="26">
        <f t="shared" si="22"/>
        <v>3.2870370370370328E-3</v>
      </c>
      <c r="R60" s="26">
        <f t="shared" si="22"/>
        <v>2.9745370370370394E-3</v>
      </c>
      <c r="S60" s="26">
        <f t="shared" si="22"/>
        <v>6.9444444444444198E-4</v>
      </c>
    </row>
    <row r="61" spans="1:23" x14ac:dyDescent="0.25">
      <c r="D61" s="44"/>
      <c r="E61" s="44"/>
      <c r="F61" s="44"/>
      <c r="G61" s="45"/>
      <c r="H61" s="26">
        <f t="shared" si="23"/>
        <v>4.3865740740740844E-3</v>
      </c>
      <c r="I61" s="26">
        <f t="shared" si="22"/>
        <v>3.0555555555555614E-3</v>
      </c>
      <c r="J61" s="26">
        <f t="shared" si="22"/>
        <v>4.108796296296291E-3</v>
      </c>
      <c r="K61" s="26">
        <f t="shared" si="22"/>
        <v>2.8009259259259289E-3</v>
      </c>
      <c r="L61" s="26">
        <f t="shared" si="22"/>
        <v>2.002314814814804E-3</v>
      </c>
      <c r="M61" s="26">
        <f t="shared" si="22"/>
        <v>1.2731481481481621E-3</v>
      </c>
      <c r="N61" s="26">
        <f t="shared" si="22"/>
        <v>5.439814814814814E-3</v>
      </c>
      <c r="O61" s="26">
        <f t="shared" si="22"/>
        <v>1.9675925925926041E-3</v>
      </c>
      <c r="P61" s="26">
        <f t="shared" si="22"/>
        <v>3.0092592592592393E-3</v>
      </c>
      <c r="Q61" s="26">
        <f t="shared" si="22"/>
        <v>3.2638888888888717E-3</v>
      </c>
      <c r="R61" s="26">
        <f t="shared" si="22"/>
        <v>2.8472222222222232E-3</v>
      </c>
      <c r="S61" s="26">
        <f t="shared" si="22"/>
        <v>6.7129629629630871E-4</v>
      </c>
    </row>
    <row r="62" spans="1:23" x14ac:dyDescent="0.25">
      <c r="D62" s="44"/>
      <c r="E62" s="44"/>
      <c r="F62" s="44"/>
      <c r="G62" s="45"/>
      <c r="H62" s="66"/>
      <c r="I62" s="66"/>
      <c r="J62" s="66"/>
      <c r="K62" s="66"/>
      <c r="L62" s="66"/>
      <c r="M62" s="66"/>
      <c r="N62" s="66"/>
      <c r="O62" s="66"/>
    </row>
    <row r="63" spans="1:23" x14ac:dyDescent="0.25">
      <c r="A63" s="25">
        <v>5</v>
      </c>
      <c r="B63" s="24" t="s">
        <v>39</v>
      </c>
      <c r="C63" s="45" t="s">
        <v>221</v>
      </c>
      <c r="D63" s="25">
        <v>112</v>
      </c>
      <c r="E63" s="25" t="s">
        <v>78</v>
      </c>
      <c r="F63" s="26">
        <v>4.4467592592592593E-2</v>
      </c>
      <c r="G63" s="45"/>
      <c r="H63" s="66">
        <v>5.5671296296296302E-3</v>
      </c>
      <c r="I63" s="26">
        <v>1.0011574074074074E-2</v>
      </c>
      <c r="J63" s="66">
        <v>1.3622685185185184E-2</v>
      </c>
      <c r="K63" s="66">
        <v>1.8506944444444444E-2</v>
      </c>
      <c r="L63" s="66">
        <v>2.1423611111111112E-2</v>
      </c>
      <c r="M63" s="66">
        <v>2.3090277777777779E-2</v>
      </c>
      <c r="N63" s="66">
        <v>2.614583333333333E-2</v>
      </c>
      <c r="O63" s="66">
        <v>3.0231481481481481E-2</v>
      </c>
      <c r="P63" s="26">
        <v>3.4872685185185187E-2</v>
      </c>
      <c r="Q63" s="26">
        <v>3.9467592592592596E-2</v>
      </c>
      <c r="R63" s="26">
        <v>4.3842592592592593E-2</v>
      </c>
      <c r="S63" s="26">
        <f t="shared" ref="S63" si="24">F63</f>
        <v>4.4467592592592593E-2</v>
      </c>
      <c r="U63" s="44" t="s">
        <v>540</v>
      </c>
      <c r="V63" s="44" t="s">
        <v>522</v>
      </c>
      <c r="W63" s="44" t="s">
        <v>591</v>
      </c>
    </row>
    <row r="64" spans="1:23" x14ac:dyDescent="0.25">
      <c r="A64" s="25"/>
      <c r="C64" s="45" t="s">
        <v>276</v>
      </c>
      <c r="D64" s="25">
        <v>212</v>
      </c>
      <c r="E64" s="25" t="s">
        <v>78</v>
      </c>
      <c r="F64" s="26">
        <v>4.387731481481482E-2</v>
      </c>
      <c r="G64" s="45"/>
      <c r="H64" s="66">
        <v>4.9305555555555554E-2</v>
      </c>
      <c r="I64" s="26">
        <v>5.2210648148148152E-2</v>
      </c>
      <c r="J64" s="66">
        <v>5.6770833333333333E-2</v>
      </c>
      <c r="K64" s="66">
        <v>5.9641203703703703E-2</v>
      </c>
      <c r="L64" s="66">
        <v>6.1979166666666669E-2</v>
      </c>
      <c r="M64" s="66">
        <v>6.9317129629629631E-2</v>
      </c>
      <c r="N64" s="66">
        <v>7.0254629629629625E-2</v>
      </c>
      <c r="O64" s="66">
        <v>7.4189814814814806E-2</v>
      </c>
      <c r="P64" s="26">
        <v>7.9074074074074074E-2</v>
      </c>
      <c r="Q64" s="26">
        <v>8.2870370370370372E-2</v>
      </c>
      <c r="R64" s="26">
        <v>8.7662037037037024E-2</v>
      </c>
      <c r="S64" s="26">
        <f t="shared" ref="S64" si="25">F63+F64</f>
        <v>8.8344907407407414E-2</v>
      </c>
      <c r="U64" s="44" t="s">
        <v>554</v>
      </c>
      <c r="V64" s="44" t="s">
        <v>523</v>
      </c>
      <c r="W64" s="44" t="s">
        <v>580</v>
      </c>
    </row>
    <row r="65" spans="1:23" x14ac:dyDescent="0.25">
      <c r="A65" s="25"/>
      <c r="B65" s="24"/>
      <c r="C65" s="45" t="s">
        <v>274</v>
      </c>
      <c r="D65" s="25">
        <v>312</v>
      </c>
      <c r="E65" s="25" t="s">
        <v>169</v>
      </c>
      <c r="F65" s="26">
        <v>4.2256944444444444E-2</v>
      </c>
      <c r="G65" s="45"/>
      <c r="H65" s="66">
        <v>9.5636574074074068E-2</v>
      </c>
      <c r="I65" s="66">
        <v>9.857638888888888E-2</v>
      </c>
      <c r="J65" s="66">
        <v>0.10297453703703703</v>
      </c>
      <c r="K65" s="66">
        <v>0.10734953703703703</v>
      </c>
      <c r="L65" s="66">
        <v>0.10850694444444443</v>
      </c>
      <c r="M65" s="66">
        <v>0.11232638888888889</v>
      </c>
      <c r="N65" s="66">
        <v>0.11464120370370372</v>
      </c>
      <c r="O65" s="66">
        <v>0.11824074074074074</v>
      </c>
      <c r="P65" s="26">
        <v>0.12291666666666667</v>
      </c>
      <c r="Q65" s="26">
        <v>0.12621527777777777</v>
      </c>
      <c r="R65" s="26">
        <v>0.13</v>
      </c>
      <c r="S65" s="26">
        <f t="shared" ref="S65" si="26">F63+F64+F65</f>
        <v>0.13060185185185186</v>
      </c>
      <c r="U65" s="44" t="s">
        <v>555</v>
      </c>
      <c r="V65" s="44" t="s">
        <v>524</v>
      </c>
      <c r="W65" s="44" t="s">
        <v>604</v>
      </c>
    </row>
    <row r="66" spans="1:23" x14ac:dyDescent="0.25">
      <c r="A66" s="25"/>
      <c r="B66" s="24"/>
      <c r="C66" s="45" t="s">
        <v>279</v>
      </c>
      <c r="D66" s="25">
        <v>412</v>
      </c>
      <c r="E66" s="25" t="s">
        <v>78</v>
      </c>
      <c r="F66" s="26">
        <v>4.1805555555555561E-2</v>
      </c>
      <c r="G66" s="45"/>
      <c r="H66" s="66">
        <v>0.1351273148148148</v>
      </c>
      <c r="I66" s="66">
        <v>0.13956018518518518</v>
      </c>
      <c r="J66" s="66">
        <v>0.14449074074074073</v>
      </c>
      <c r="K66" s="66">
        <v>0.14965277777777777</v>
      </c>
      <c r="L66" s="66">
        <v>0.15260416666666668</v>
      </c>
      <c r="M66" s="66">
        <v>0.15524305555555554</v>
      </c>
      <c r="N66" s="66">
        <v>0.15791666666666668</v>
      </c>
      <c r="O66" s="66">
        <v>0.16078703703703703</v>
      </c>
      <c r="P66" s="26">
        <v>0.16465277777777779</v>
      </c>
      <c r="Q66" s="26">
        <v>0.16855324074074074</v>
      </c>
      <c r="R66" s="26">
        <v>0.17171296296296298</v>
      </c>
      <c r="S66" s="26">
        <f t="shared" ref="S66" si="27">F63+F64+F65+F66</f>
        <v>0.17240740740740743</v>
      </c>
      <c r="U66" s="44" t="s">
        <v>556</v>
      </c>
      <c r="V66" s="44" t="s">
        <v>525</v>
      </c>
      <c r="W66" s="44" t="s">
        <v>598</v>
      </c>
    </row>
    <row r="67" spans="1:23" x14ac:dyDescent="0.25">
      <c r="A67" s="25"/>
      <c r="G67" s="45"/>
      <c r="H67" s="66"/>
      <c r="I67" s="66"/>
      <c r="J67" s="66"/>
      <c r="K67" s="66"/>
      <c r="L67" s="66"/>
      <c r="M67" s="66"/>
      <c r="N67" s="66"/>
      <c r="O67" s="66"/>
    </row>
    <row r="68" spans="1:23" x14ac:dyDescent="0.25">
      <c r="D68" s="44"/>
      <c r="E68" s="44"/>
      <c r="F68" s="44"/>
      <c r="G68" s="45"/>
      <c r="H68" s="66">
        <f>H63</f>
        <v>5.5671296296296302E-3</v>
      </c>
      <c r="I68" s="66">
        <f>I63-H63</f>
        <v>4.4444444444444436E-3</v>
      </c>
      <c r="J68" s="66">
        <f t="shared" ref="J68:S68" si="28">J63-I63</f>
        <v>3.6111111111111101E-3</v>
      </c>
      <c r="K68" s="66">
        <f t="shared" si="28"/>
        <v>4.8842592592592601E-3</v>
      </c>
      <c r="L68" s="66">
        <f t="shared" si="28"/>
        <v>2.9166666666666681E-3</v>
      </c>
      <c r="M68" s="66">
        <f t="shared" si="28"/>
        <v>1.666666666666667E-3</v>
      </c>
      <c r="N68" s="66">
        <f t="shared" si="28"/>
        <v>3.0555555555555509E-3</v>
      </c>
      <c r="O68" s="66">
        <f t="shared" si="28"/>
        <v>4.0856481481481507E-3</v>
      </c>
      <c r="P68" s="66">
        <f t="shared" si="28"/>
        <v>4.6412037037037064E-3</v>
      </c>
      <c r="Q68" s="66">
        <f t="shared" si="28"/>
        <v>4.5949074074074087E-3</v>
      </c>
      <c r="R68" s="66">
        <f t="shared" si="28"/>
        <v>4.3749999999999969E-3</v>
      </c>
      <c r="S68" s="66">
        <f t="shared" si="28"/>
        <v>6.2500000000000056E-4</v>
      </c>
    </row>
    <row r="69" spans="1:23" x14ac:dyDescent="0.25">
      <c r="D69" s="44"/>
      <c r="E69" s="44"/>
      <c r="F69" s="44"/>
      <c r="G69" s="45"/>
      <c r="H69" s="66">
        <f>H64-S63</f>
        <v>4.8379629629629606E-3</v>
      </c>
      <c r="I69" s="66">
        <f t="shared" ref="I69:S71" si="29">I64-H64</f>
        <v>2.905092592592598E-3</v>
      </c>
      <c r="J69" s="66">
        <f t="shared" si="29"/>
        <v>4.560185185185181E-3</v>
      </c>
      <c r="K69" s="66">
        <f t="shared" si="29"/>
        <v>2.8703703703703703E-3</v>
      </c>
      <c r="L69" s="66">
        <f t="shared" si="29"/>
        <v>2.3379629629629653E-3</v>
      </c>
      <c r="M69" s="66">
        <f t="shared" si="29"/>
        <v>7.3379629629629628E-3</v>
      </c>
      <c r="N69" s="66">
        <f t="shared" si="29"/>
        <v>9.3749999999999389E-4</v>
      </c>
      <c r="O69" s="66">
        <f t="shared" si="29"/>
        <v>3.9351851851851805E-3</v>
      </c>
      <c r="P69" s="66">
        <f t="shared" si="29"/>
        <v>4.8842592592592687E-3</v>
      </c>
      <c r="Q69" s="66">
        <f t="shared" si="29"/>
        <v>3.7962962962962976E-3</v>
      </c>
      <c r="R69" s="66">
        <f t="shared" si="29"/>
        <v>4.7916666666666524E-3</v>
      </c>
      <c r="S69" s="66">
        <f t="shared" si="29"/>
        <v>6.8287037037038922E-4</v>
      </c>
    </row>
    <row r="70" spans="1:23" x14ac:dyDescent="0.25">
      <c r="D70" s="44"/>
      <c r="E70" s="44"/>
      <c r="F70" s="44"/>
      <c r="G70" s="45"/>
      <c r="H70" s="66">
        <f t="shared" ref="H70:H71" si="30">H65-S64</f>
        <v>7.2916666666666546E-3</v>
      </c>
      <c r="I70" s="66">
        <f t="shared" si="29"/>
        <v>2.9398148148148118E-3</v>
      </c>
      <c r="J70" s="66">
        <f t="shared" si="29"/>
        <v>4.398148148148151E-3</v>
      </c>
      <c r="K70" s="66">
        <f t="shared" si="29"/>
        <v>4.3750000000000039E-3</v>
      </c>
      <c r="L70" s="66">
        <f t="shared" si="29"/>
        <v>1.1574074074073987E-3</v>
      </c>
      <c r="M70" s="66">
        <f t="shared" si="29"/>
        <v>3.8194444444444586E-3</v>
      </c>
      <c r="N70" s="66">
        <f t="shared" si="29"/>
        <v>2.3148148148148251E-3</v>
      </c>
      <c r="O70" s="66">
        <f t="shared" si="29"/>
        <v>3.5995370370370261E-3</v>
      </c>
      <c r="P70" s="66">
        <f t="shared" si="29"/>
        <v>4.6759259259259306E-3</v>
      </c>
      <c r="Q70" s="66">
        <f t="shared" si="29"/>
        <v>3.2986111111110994E-3</v>
      </c>
      <c r="R70" s="66">
        <f t="shared" si="29"/>
        <v>3.784722222222231E-3</v>
      </c>
      <c r="S70" s="66">
        <f t="shared" si="29"/>
        <v>6.0185185185185341E-4</v>
      </c>
    </row>
    <row r="71" spans="1:23" x14ac:dyDescent="0.25">
      <c r="D71" s="44"/>
      <c r="E71" s="44"/>
      <c r="F71" s="44"/>
      <c r="G71" s="45"/>
      <c r="H71" s="66">
        <f t="shared" si="30"/>
        <v>4.5254629629629395E-3</v>
      </c>
      <c r="I71" s="66">
        <f t="shared" si="29"/>
        <v>4.4328703703703787E-3</v>
      </c>
      <c r="J71" s="66">
        <f t="shared" si="29"/>
        <v>4.9305555555555491E-3</v>
      </c>
      <c r="K71" s="66">
        <f t="shared" si="29"/>
        <v>5.1620370370370483E-3</v>
      </c>
      <c r="L71" s="66">
        <f t="shared" si="29"/>
        <v>2.9513888888889062E-3</v>
      </c>
      <c r="M71" s="66">
        <f t="shared" si="29"/>
        <v>2.6388888888888573E-3</v>
      </c>
      <c r="N71" s="66">
        <f t="shared" si="29"/>
        <v>2.6736111111111405E-3</v>
      </c>
      <c r="O71" s="66">
        <f t="shared" si="29"/>
        <v>2.8703703703703565E-3</v>
      </c>
      <c r="P71" s="66">
        <f t="shared" si="29"/>
        <v>3.8657407407407529E-3</v>
      </c>
      <c r="Q71" s="66">
        <f t="shared" si="29"/>
        <v>3.9004629629629528E-3</v>
      </c>
      <c r="R71" s="66">
        <f t="shared" si="29"/>
        <v>3.1597222222222443E-3</v>
      </c>
      <c r="S71" s="66">
        <f t="shared" si="29"/>
        <v>6.9444444444444198E-4</v>
      </c>
    </row>
    <row r="72" spans="1:23" x14ac:dyDescent="0.25">
      <c r="G72" s="45"/>
      <c r="H72" s="66"/>
      <c r="I72" s="66"/>
      <c r="J72" s="66"/>
      <c r="K72" s="66"/>
      <c r="L72" s="66"/>
      <c r="M72" s="66"/>
      <c r="N72" s="66"/>
      <c r="O72" s="66"/>
    </row>
    <row r="73" spans="1:23" x14ac:dyDescent="0.25">
      <c r="A73" s="25">
        <v>6</v>
      </c>
      <c r="B73" s="24" t="s">
        <v>12</v>
      </c>
      <c r="C73" s="45" t="s">
        <v>286</v>
      </c>
      <c r="D73" s="25">
        <v>113</v>
      </c>
      <c r="E73" s="25" t="s">
        <v>78</v>
      </c>
      <c r="F73" s="26">
        <v>5.3217592592592594E-2</v>
      </c>
      <c r="G73" s="45"/>
      <c r="H73" s="66">
        <v>4.9189814814814816E-3</v>
      </c>
      <c r="I73" s="66">
        <v>8.4837962962962966E-3</v>
      </c>
      <c r="J73" s="66">
        <v>1.5104166666666667E-2</v>
      </c>
      <c r="K73" s="66">
        <v>1.9409722222222221E-2</v>
      </c>
      <c r="L73" s="66">
        <v>2.1122685185185185E-2</v>
      </c>
      <c r="M73" s="66">
        <v>2.6053240740740738E-2</v>
      </c>
      <c r="N73" s="66">
        <v>2.8530092592592593E-2</v>
      </c>
      <c r="O73" s="66">
        <v>3.5937500000000004E-2</v>
      </c>
      <c r="P73" s="26">
        <v>4.0034722222222222E-2</v>
      </c>
      <c r="Q73" s="26">
        <v>4.3576388888888894E-2</v>
      </c>
      <c r="R73" s="26">
        <v>5.2407407407407403E-2</v>
      </c>
      <c r="S73" s="26">
        <f t="shared" ref="S73:S103" si="31">F73</f>
        <v>5.3217592592592594E-2</v>
      </c>
      <c r="U73" s="44" t="s">
        <v>551</v>
      </c>
      <c r="V73" s="44" t="s">
        <v>511</v>
      </c>
      <c r="W73" s="44" t="s">
        <v>587</v>
      </c>
    </row>
    <row r="74" spans="1:23" x14ac:dyDescent="0.25">
      <c r="A74" s="25"/>
      <c r="C74" s="45" t="s">
        <v>235</v>
      </c>
      <c r="D74" s="25">
        <v>213</v>
      </c>
      <c r="E74" s="25" t="s">
        <v>78</v>
      </c>
      <c r="F74" s="26">
        <v>5.2037037037037041E-2</v>
      </c>
      <c r="G74" s="45"/>
      <c r="H74" s="66">
        <v>5.9375000000000004E-2</v>
      </c>
      <c r="I74" s="66">
        <v>6.1307870370370367E-2</v>
      </c>
      <c r="J74" s="66">
        <v>7.0636574074074074E-2</v>
      </c>
      <c r="K74" s="66">
        <v>7.4976851851851864E-2</v>
      </c>
      <c r="L74" s="66">
        <v>7.5983796296296299E-2</v>
      </c>
      <c r="M74" s="66">
        <v>8.0196759259259259E-2</v>
      </c>
      <c r="N74" s="66">
        <v>8.414351851851852E-2</v>
      </c>
      <c r="O74" s="66">
        <v>8.924768518518518E-2</v>
      </c>
      <c r="P74" s="26">
        <v>9.7928240740740746E-2</v>
      </c>
      <c r="Q74" s="26">
        <v>0.10129629629629629</v>
      </c>
      <c r="R74" s="26">
        <v>0.10449074074074073</v>
      </c>
      <c r="S74" s="26">
        <f t="shared" ref="S74:S104" si="32">F73+F74</f>
        <v>0.10525462962962964</v>
      </c>
      <c r="U74" s="44" t="s">
        <v>552</v>
      </c>
      <c r="V74" s="44" t="s">
        <v>526</v>
      </c>
      <c r="W74" s="44" t="s">
        <v>605</v>
      </c>
    </row>
    <row r="75" spans="1:23" x14ac:dyDescent="0.25">
      <c r="A75" s="25"/>
      <c r="C75" s="45" t="s">
        <v>218</v>
      </c>
      <c r="D75" s="25">
        <v>313</v>
      </c>
      <c r="E75" s="25" t="s">
        <v>78</v>
      </c>
      <c r="F75" s="26">
        <v>5.4976851851851853E-2</v>
      </c>
      <c r="G75" s="45"/>
      <c r="H75" s="66">
        <v>0.11145833333333333</v>
      </c>
      <c r="I75" s="66">
        <v>0.11577546296296297</v>
      </c>
      <c r="J75" s="66">
        <v>0.12063657407407408</v>
      </c>
      <c r="K75" s="66">
        <v>0.12245370370370372</v>
      </c>
      <c r="L75" s="66">
        <v>0.1259837962962963</v>
      </c>
      <c r="M75" s="66">
        <v>0.12751157407407407</v>
      </c>
      <c r="N75" s="66">
        <v>0.13063657407407406</v>
      </c>
      <c r="O75" s="66">
        <v>0.13472222222222222</v>
      </c>
      <c r="P75" s="26">
        <v>0.13857638888888887</v>
      </c>
      <c r="Q75" s="26">
        <v>0.14258101851851854</v>
      </c>
      <c r="R75" s="26">
        <v>0.1595486111111111</v>
      </c>
      <c r="S75" s="26">
        <f t="shared" ref="S75" si="33">F73+F74+F75</f>
        <v>0.1602314814814815</v>
      </c>
      <c r="U75" s="44" t="s">
        <v>542</v>
      </c>
      <c r="V75" s="44" t="s">
        <v>527</v>
      </c>
      <c r="W75" s="44" t="s">
        <v>581</v>
      </c>
    </row>
    <row r="76" spans="1:23" x14ac:dyDescent="0.25">
      <c r="A76" s="25"/>
      <c r="B76" s="24"/>
      <c r="C76" s="45" t="s">
        <v>266</v>
      </c>
      <c r="D76" s="25">
        <v>413</v>
      </c>
      <c r="E76" s="25" t="s">
        <v>78</v>
      </c>
      <c r="F76" s="26">
        <v>3.6770833333333336E-2</v>
      </c>
      <c r="G76" s="45"/>
      <c r="H76" s="66">
        <v>0.1657986111111111</v>
      </c>
      <c r="I76" s="66">
        <v>0.16869212962962962</v>
      </c>
      <c r="J76" s="66">
        <v>0.17216435185185186</v>
      </c>
      <c r="K76" s="66">
        <v>0.17569444444444446</v>
      </c>
      <c r="L76" s="66"/>
      <c r="M76" s="66">
        <v>0.1796875</v>
      </c>
      <c r="N76" s="66">
        <v>0.18246527777777777</v>
      </c>
      <c r="O76" s="66">
        <v>0.18500000000000003</v>
      </c>
      <c r="P76" s="26">
        <v>0.18872685185185187</v>
      </c>
      <c r="Q76" s="26">
        <v>0.19221064814814814</v>
      </c>
      <c r="R76" s="26">
        <v>0.19618055555555555</v>
      </c>
      <c r="S76" s="26">
        <f t="shared" ref="S76" si="34">F73+F74+F75+F76</f>
        <v>0.19700231481481484</v>
      </c>
      <c r="U76" s="44" t="s">
        <v>553</v>
      </c>
      <c r="V76" s="44" t="s">
        <v>528</v>
      </c>
      <c r="W76" s="44" t="s">
        <v>599</v>
      </c>
    </row>
    <row r="77" spans="1:23" x14ac:dyDescent="0.25">
      <c r="A77" s="25"/>
      <c r="G77" s="45"/>
      <c r="H77" s="66"/>
      <c r="I77" s="66"/>
      <c r="J77" s="66"/>
      <c r="K77" s="66"/>
      <c r="L77" s="66"/>
      <c r="M77" s="66"/>
      <c r="N77" s="66"/>
      <c r="O77" s="66"/>
    </row>
    <row r="78" spans="1:23" x14ac:dyDescent="0.25">
      <c r="G78" s="45"/>
      <c r="H78" s="66">
        <f>H73</f>
        <v>4.9189814814814816E-3</v>
      </c>
      <c r="I78" s="66">
        <f>I73-H73</f>
        <v>3.5648148148148149E-3</v>
      </c>
      <c r="J78" s="66">
        <f t="shared" ref="J78:S78" si="35">J73-I73</f>
        <v>6.6203703703703702E-3</v>
      </c>
      <c r="K78" s="66">
        <f t="shared" si="35"/>
        <v>4.3055555555555538E-3</v>
      </c>
      <c r="L78" s="66">
        <f t="shared" si="35"/>
        <v>1.7129629629629647E-3</v>
      </c>
      <c r="M78" s="66">
        <f t="shared" si="35"/>
        <v>4.9305555555555526E-3</v>
      </c>
      <c r="N78" s="66">
        <f t="shared" si="35"/>
        <v>2.4768518518518551E-3</v>
      </c>
      <c r="O78" s="66">
        <f t="shared" si="35"/>
        <v>7.4074074074074112E-3</v>
      </c>
      <c r="P78" s="66">
        <f t="shared" si="35"/>
        <v>4.0972222222222174E-3</v>
      </c>
      <c r="Q78" s="66">
        <f t="shared" si="35"/>
        <v>3.5416666666666721E-3</v>
      </c>
      <c r="R78" s="66">
        <f t="shared" si="35"/>
        <v>8.8310185185185089E-3</v>
      </c>
      <c r="S78" s="66">
        <f t="shared" si="35"/>
        <v>8.1018518518519156E-4</v>
      </c>
    </row>
    <row r="79" spans="1:23" x14ac:dyDescent="0.25">
      <c r="G79" s="45"/>
      <c r="H79" s="66">
        <f>H74-S73</f>
        <v>6.15740740740741E-3</v>
      </c>
      <c r="I79" s="66">
        <f t="shared" ref="I79:S81" si="36">I74-H74</f>
        <v>1.9328703703703626E-3</v>
      </c>
      <c r="J79" s="66">
        <f t="shared" si="36"/>
        <v>9.3287037037037071E-3</v>
      </c>
      <c r="K79" s="66">
        <f t="shared" si="36"/>
        <v>4.3402777777777901E-3</v>
      </c>
      <c r="L79" s="66">
        <f t="shared" si="36"/>
        <v>1.0069444444444353E-3</v>
      </c>
      <c r="M79" s="66">
        <f t="shared" si="36"/>
        <v>4.21296296296296E-3</v>
      </c>
      <c r="N79" s="66">
        <f t="shared" si="36"/>
        <v>3.946759259259261E-3</v>
      </c>
      <c r="O79" s="66">
        <f t="shared" si="36"/>
        <v>5.1041666666666596E-3</v>
      </c>
      <c r="P79" s="66">
        <f t="shared" si="36"/>
        <v>8.6805555555555663E-3</v>
      </c>
      <c r="Q79" s="66">
        <f t="shared" si="36"/>
        <v>3.3680555555555408E-3</v>
      </c>
      <c r="R79" s="66">
        <f t="shared" si="36"/>
        <v>3.1944444444444442E-3</v>
      </c>
      <c r="S79" s="66">
        <f t="shared" si="36"/>
        <v>7.6388888888891116E-4</v>
      </c>
    </row>
    <row r="80" spans="1:23" x14ac:dyDescent="0.25">
      <c r="G80" s="45"/>
      <c r="H80" s="66">
        <f t="shared" ref="H80:H81" si="37">H75-S74</f>
        <v>6.2037037037036835E-3</v>
      </c>
      <c r="I80" s="66">
        <f t="shared" si="36"/>
        <v>4.317129629629643E-3</v>
      </c>
      <c r="J80" s="66">
        <f t="shared" si="36"/>
        <v>4.8611111111111077E-3</v>
      </c>
      <c r="K80" s="66">
        <f t="shared" si="36"/>
        <v>1.8171296296296408E-3</v>
      </c>
      <c r="L80" s="66">
        <f t="shared" si="36"/>
        <v>3.5300925925925847E-3</v>
      </c>
      <c r="M80" s="66">
        <f t="shared" si="36"/>
        <v>1.5277777777777668E-3</v>
      </c>
      <c r="N80" s="66">
        <f t="shared" si="36"/>
        <v>3.1249999999999889E-3</v>
      </c>
      <c r="O80" s="66">
        <f t="shared" si="36"/>
        <v>4.0856481481481577E-3</v>
      </c>
      <c r="P80" s="66">
        <f t="shared" si="36"/>
        <v>3.8541666666666585E-3</v>
      </c>
      <c r="Q80" s="66">
        <f t="shared" si="36"/>
        <v>4.0046296296296635E-3</v>
      </c>
      <c r="R80" s="66">
        <f t="shared" si="36"/>
        <v>1.6967592592592562E-2</v>
      </c>
      <c r="S80" s="66">
        <f t="shared" si="36"/>
        <v>6.828703703704031E-4</v>
      </c>
    </row>
    <row r="81" spans="1:23" x14ac:dyDescent="0.25">
      <c r="G81" s="45"/>
      <c r="H81" s="66">
        <f t="shared" si="37"/>
        <v>5.5671296296296024E-3</v>
      </c>
      <c r="I81" s="66">
        <f t="shared" si="36"/>
        <v>2.8935185185185175E-3</v>
      </c>
      <c r="J81" s="66">
        <f t="shared" si="36"/>
        <v>3.4722222222222376E-3</v>
      </c>
      <c r="K81" s="66">
        <f t="shared" si="36"/>
        <v>3.5300925925925986E-3</v>
      </c>
      <c r="L81" s="66"/>
      <c r="M81" s="66"/>
      <c r="N81" s="66">
        <f t="shared" si="36"/>
        <v>2.7777777777777679E-3</v>
      </c>
      <c r="O81" s="66">
        <f t="shared" si="36"/>
        <v>2.5347222222222576E-3</v>
      </c>
      <c r="P81" s="66">
        <f t="shared" si="36"/>
        <v>3.7268518518518423E-3</v>
      </c>
      <c r="Q81" s="66">
        <f t="shared" si="36"/>
        <v>3.4837962962962765E-3</v>
      </c>
      <c r="R81" s="66">
        <f t="shared" si="36"/>
        <v>3.9699074074074081E-3</v>
      </c>
      <c r="S81" s="66">
        <f t="shared" si="36"/>
        <v>8.2175925925928595E-4</v>
      </c>
    </row>
    <row r="82" spans="1:23" x14ac:dyDescent="0.25">
      <c r="G82" s="45"/>
      <c r="H82" s="66"/>
      <c r="I82" s="66"/>
      <c r="J82" s="66"/>
      <c r="K82" s="66"/>
      <c r="L82" s="66"/>
      <c r="M82" s="66"/>
      <c r="N82" s="66"/>
      <c r="O82" s="66"/>
    </row>
    <row r="83" spans="1:23" x14ac:dyDescent="0.25">
      <c r="A83" s="25">
        <v>7</v>
      </c>
      <c r="B83" s="24" t="s">
        <v>14</v>
      </c>
      <c r="C83" s="45" t="s">
        <v>289</v>
      </c>
      <c r="D83" s="25">
        <v>118</v>
      </c>
      <c r="E83" s="25" t="s">
        <v>169</v>
      </c>
      <c r="F83" s="26">
        <v>6.2800925925925927E-2</v>
      </c>
      <c r="G83" s="45"/>
      <c r="H83" s="66">
        <v>9.5486111111111101E-3</v>
      </c>
      <c r="I83" s="66">
        <v>1.7152777777777777E-2</v>
      </c>
      <c r="J83" s="66">
        <v>2.2499999999999996E-2</v>
      </c>
      <c r="K83" s="66">
        <v>2.6562499999999999E-2</v>
      </c>
      <c r="L83" s="66">
        <v>3.107638888888889E-2</v>
      </c>
      <c r="M83" s="66">
        <v>3.3344907407407406E-2</v>
      </c>
      <c r="N83" s="66">
        <v>3.7476851851851851E-2</v>
      </c>
      <c r="O83" s="66">
        <v>4.3252314814814813E-2</v>
      </c>
      <c r="P83" s="26">
        <v>4.8611111111111112E-2</v>
      </c>
      <c r="Q83" s="26">
        <v>5.4571759259259257E-2</v>
      </c>
      <c r="R83" s="26">
        <v>6.2152777777777779E-2</v>
      </c>
      <c r="S83" s="26">
        <f t="shared" si="31"/>
        <v>6.2800925925925927E-2</v>
      </c>
      <c r="U83" s="44" t="s">
        <v>547</v>
      </c>
      <c r="V83" s="44" t="s">
        <v>518</v>
      </c>
      <c r="W83" s="44" t="s">
        <v>592</v>
      </c>
    </row>
    <row r="84" spans="1:23" x14ac:dyDescent="0.25">
      <c r="A84" s="25"/>
      <c r="C84" s="45" t="s">
        <v>277</v>
      </c>
      <c r="D84" s="25">
        <v>218</v>
      </c>
      <c r="E84" s="25" t="s">
        <v>169</v>
      </c>
      <c r="F84" s="26">
        <v>5.0671296296296298E-2</v>
      </c>
      <c r="G84" s="45"/>
      <c r="H84" s="66">
        <v>6.8634259259259256E-2</v>
      </c>
      <c r="I84" s="26">
        <v>7.2025462962962958E-2</v>
      </c>
      <c r="J84" s="66">
        <v>7.8495370370370368E-2</v>
      </c>
      <c r="K84" s="66">
        <v>8.2442129629629629E-2</v>
      </c>
      <c r="L84" s="66">
        <v>8.4861111111111109E-2</v>
      </c>
      <c r="M84" s="66">
        <v>8.6284722222222221E-2</v>
      </c>
      <c r="N84" s="66">
        <v>9.0231481481481482E-2</v>
      </c>
      <c r="O84" s="66">
        <v>9.4618055555555566E-2</v>
      </c>
      <c r="P84" s="26">
        <v>9.9386574074074072E-2</v>
      </c>
      <c r="Q84" s="26">
        <v>0.10971064814814814</v>
      </c>
      <c r="R84" s="26">
        <v>0.11280092592592593</v>
      </c>
      <c r="S84" s="26">
        <f t="shared" si="32"/>
        <v>0.11347222222222222</v>
      </c>
      <c r="U84" s="44" t="s">
        <v>548</v>
      </c>
      <c r="V84" s="44" t="s">
        <v>529</v>
      </c>
      <c r="W84" s="44" t="s">
        <v>582</v>
      </c>
    </row>
    <row r="85" spans="1:23" x14ac:dyDescent="0.25">
      <c r="A85" s="25"/>
      <c r="B85" s="24"/>
      <c r="C85" s="45" t="s">
        <v>281</v>
      </c>
      <c r="D85" s="25">
        <v>318</v>
      </c>
      <c r="E85" s="25" t="s">
        <v>78</v>
      </c>
      <c r="F85" s="26">
        <v>4.9085648148148149E-2</v>
      </c>
      <c r="H85" s="66">
        <v>0.12071759259259258</v>
      </c>
      <c r="I85" s="66">
        <v>0.12390046296296296</v>
      </c>
      <c r="J85" s="66">
        <v>0.13028935185185184</v>
      </c>
      <c r="K85" s="66">
        <v>0.13292824074074075</v>
      </c>
      <c r="L85" s="66">
        <v>0.1383101851851852</v>
      </c>
      <c r="M85" s="66">
        <v>0.14222222222222222</v>
      </c>
      <c r="N85" s="66">
        <v>0.1451388888888889</v>
      </c>
      <c r="O85" s="66">
        <v>0.14957175925925925</v>
      </c>
      <c r="P85" s="26">
        <v>0.15416666666666667</v>
      </c>
      <c r="Q85" s="26">
        <v>0.15768518518518518</v>
      </c>
      <c r="R85" s="26">
        <v>0.1617476851851852</v>
      </c>
      <c r="S85" s="26">
        <f t="shared" ref="S85:S105" si="38">F83+F84+F85</f>
        <v>0.16255787037037037</v>
      </c>
      <c r="U85" s="44" t="s">
        <v>549</v>
      </c>
      <c r="V85" s="44" t="s">
        <v>530</v>
      </c>
      <c r="W85" s="44" t="s">
        <v>586</v>
      </c>
    </row>
    <row r="86" spans="1:23" x14ac:dyDescent="0.25">
      <c r="A86" s="25"/>
      <c r="C86" s="45" t="s">
        <v>278</v>
      </c>
      <c r="D86" s="25">
        <v>418</v>
      </c>
      <c r="E86" s="25" t="s">
        <v>78</v>
      </c>
      <c r="F86" s="26">
        <v>5.2048611111111108E-2</v>
      </c>
      <c r="H86" s="66">
        <v>0.16921296296296295</v>
      </c>
      <c r="I86" s="66">
        <v>0.173125</v>
      </c>
      <c r="J86" s="66">
        <v>0.17785879629629631</v>
      </c>
      <c r="K86" s="66">
        <v>0.18186342592592594</v>
      </c>
      <c r="L86" s="66">
        <v>0.1861689814814815</v>
      </c>
      <c r="M86" s="66">
        <v>0.19005787037037036</v>
      </c>
      <c r="N86" s="66">
        <v>0.19673611111111111</v>
      </c>
      <c r="O86" s="66">
        <v>0.20234953703703704</v>
      </c>
      <c r="P86" s="26">
        <v>0.20659722222222221</v>
      </c>
      <c r="Q86" s="26">
        <v>0.21053240740740742</v>
      </c>
      <c r="R86" s="26">
        <v>0.21380787037037038</v>
      </c>
      <c r="S86" s="26">
        <f t="shared" ref="S86:S106" si="39">F83+F84+F85+F86</f>
        <v>0.21460648148148148</v>
      </c>
      <c r="U86" s="44" t="s">
        <v>550</v>
      </c>
      <c r="V86" s="44" t="s">
        <v>531</v>
      </c>
      <c r="W86" s="44" t="s">
        <v>606</v>
      </c>
    </row>
    <row r="87" spans="1:23" x14ac:dyDescent="0.25">
      <c r="A87" s="25"/>
      <c r="H87" s="66"/>
      <c r="I87" s="66"/>
      <c r="J87" s="66"/>
      <c r="K87" s="66"/>
      <c r="L87" s="66"/>
      <c r="M87" s="66"/>
      <c r="N87" s="66"/>
      <c r="O87" s="66"/>
    </row>
    <row r="88" spans="1:23" x14ac:dyDescent="0.25">
      <c r="H88" s="66">
        <f>H83</f>
        <v>9.5486111111111101E-3</v>
      </c>
      <c r="I88" s="66">
        <f>I83-H83</f>
        <v>7.6041666666666671E-3</v>
      </c>
      <c r="J88" s="66">
        <f t="shared" ref="J88:S88" si="40">J83-I83</f>
        <v>5.3472222222222185E-3</v>
      </c>
      <c r="K88" s="66">
        <f t="shared" si="40"/>
        <v>4.0625000000000036E-3</v>
      </c>
      <c r="L88" s="66">
        <f t="shared" si="40"/>
        <v>4.5138888888888902E-3</v>
      </c>
      <c r="M88" s="66">
        <f t="shared" si="40"/>
        <v>2.2685185185185169E-3</v>
      </c>
      <c r="N88" s="66">
        <f t="shared" si="40"/>
        <v>4.131944444444445E-3</v>
      </c>
      <c r="O88" s="66">
        <f t="shared" si="40"/>
        <v>5.7754629629629614E-3</v>
      </c>
      <c r="P88" s="66">
        <f t="shared" si="40"/>
        <v>5.358796296296299E-3</v>
      </c>
      <c r="Q88" s="66">
        <f t="shared" si="40"/>
        <v>5.9606481481481455E-3</v>
      </c>
      <c r="R88" s="66">
        <f t="shared" si="40"/>
        <v>7.5810185185185217E-3</v>
      </c>
      <c r="S88" s="66">
        <f t="shared" si="40"/>
        <v>6.481481481481477E-4</v>
      </c>
    </row>
    <row r="89" spans="1:23" x14ac:dyDescent="0.25">
      <c r="H89" s="66">
        <f>H84-S83</f>
        <v>5.8333333333333293E-3</v>
      </c>
      <c r="I89" s="66">
        <f t="shared" ref="I89:S90" si="41">I84-H84</f>
        <v>3.3912037037037018E-3</v>
      </c>
      <c r="J89" s="66">
        <f t="shared" si="41"/>
        <v>6.4699074074074103E-3</v>
      </c>
      <c r="K89" s="66">
        <f t="shared" si="41"/>
        <v>3.946759259259261E-3</v>
      </c>
      <c r="L89" s="66">
        <f t="shared" si="41"/>
        <v>2.4189814814814803E-3</v>
      </c>
      <c r="M89" s="66">
        <f t="shared" si="41"/>
        <v>1.4236111111111116E-3</v>
      </c>
      <c r="N89" s="66">
        <f t="shared" si="41"/>
        <v>3.946759259259261E-3</v>
      </c>
      <c r="O89" s="66">
        <f t="shared" si="41"/>
        <v>4.3865740740740844E-3</v>
      </c>
      <c r="P89" s="66">
        <f t="shared" si="41"/>
        <v>4.7685185185185053E-3</v>
      </c>
      <c r="Q89" s="66">
        <f t="shared" si="41"/>
        <v>1.0324074074074069E-2</v>
      </c>
      <c r="R89" s="66">
        <f t="shared" si="41"/>
        <v>3.090277777777789E-3</v>
      </c>
      <c r="S89" s="66">
        <f t="shared" si="41"/>
        <v>6.7129629629629484E-4</v>
      </c>
    </row>
    <row r="90" spans="1:23" x14ac:dyDescent="0.25">
      <c r="H90" s="66">
        <f t="shared" ref="H90:H91" si="42">H85-S84</f>
        <v>7.2453703703703604E-3</v>
      </c>
      <c r="I90" s="66">
        <f t="shared" si="41"/>
        <v>3.1828703703703776E-3</v>
      </c>
      <c r="J90" s="66">
        <f t="shared" si="41"/>
        <v>6.3888888888888745E-3</v>
      </c>
      <c r="K90" s="66">
        <f t="shared" si="41"/>
        <v>2.6388888888889128E-3</v>
      </c>
      <c r="L90" s="66">
        <f t="shared" si="41"/>
        <v>5.3819444444444531E-3</v>
      </c>
      <c r="M90" s="66">
        <f t="shared" si="41"/>
        <v>3.9120370370370194E-3</v>
      </c>
      <c r="N90" s="66">
        <f t="shared" si="41"/>
        <v>2.9166666666666785E-3</v>
      </c>
      <c r="O90" s="66">
        <f t="shared" si="41"/>
        <v>4.4328703703703509E-3</v>
      </c>
      <c r="P90" s="66">
        <f t="shared" si="41"/>
        <v>4.5949074074074225E-3</v>
      </c>
      <c r="Q90" s="66">
        <f t="shared" si="41"/>
        <v>3.5185185185185042E-3</v>
      </c>
      <c r="R90" s="66">
        <f t="shared" si="41"/>
        <v>4.0625000000000244E-3</v>
      </c>
      <c r="S90" s="66">
        <f t="shared" si="41"/>
        <v>8.101851851851638E-4</v>
      </c>
    </row>
    <row r="91" spans="1:23" x14ac:dyDescent="0.25">
      <c r="H91" s="66">
        <f t="shared" si="42"/>
        <v>6.6550925925925875E-3</v>
      </c>
      <c r="I91" s="66">
        <f>I86-H86</f>
        <v>3.9120370370370472E-3</v>
      </c>
      <c r="J91" s="66">
        <f t="shared" ref="J91:S91" si="43">J86-I86</f>
        <v>4.7337962962963054E-3</v>
      </c>
      <c r="K91" s="66">
        <f t="shared" si="43"/>
        <v>4.0046296296296358E-3</v>
      </c>
      <c r="L91" s="66">
        <f t="shared" si="43"/>
        <v>4.3055555555555625E-3</v>
      </c>
      <c r="M91" s="66">
        <f t="shared" si="43"/>
        <v>3.8888888888888584E-3</v>
      </c>
      <c r="N91" s="66">
        <f t="shared" si="43"/>
        <v>6.6782407407407485E-3</v>
      </c>
      <c r="O91" s="66">
        <f t="shared" si="43"/>
        <v>5.6134259259259245E-3</v>
      </c>
      <c r="P91" s="66">
        <f t="shared" si="43"/>
        <v>4.2476851851851738E-3</v>
      </c>
      <c r="Q91" s="66">
        <f t="shared" si="43"/>
        <v>3.9351851851852082E-3</v>
      </c>
      <c r="R91" s="66">
        <f t="shared" si="43"/>
        <v>3.2754629629629661E-3</v>
      </c>
      <c r="S91" s="66">
        <f t="shared" si="43"/>
        <v>7.9861111111109717E-4</v>
      </c>
    </row>
    <row r="92" spans="1:23" x14ac:dyDescent="0.25">
      <c r="H92" s="66"/>
      <c r="I92" s="66"/>
      <c r="J92" s="66"/>
      <c r="K92" s="66"/>
      <c r="L92" s="66"/>
      <c r="M92" s="66"/>
      <c r="N92" s="66"/>
      <c r="O92" s="66"/>
    </row>
    <row r="93" spans="1:23" x14ac:dyDescent="0.25">
      <c r="A93" s="25">
        <v>8</v>
      </c>
      <c r="B93" s="24" t="s">
        <v>18</v>
      </c>
      <c r="C93" s="45" t="s">
        <v>268</v>
      </c>
      <c r="D93" s="25">
        <v>111</v>
      </c>
      <c r="E93" s="25" t="s">
        <v>78</v>
      </c>
      <c r="F93" s="26">
        <v>5.1342592592592586E-2</v>
      </c>
      <c r="H93" s="66">
        <v>4.8032407407407407E-3</v>
      </c>
      <c r="I93" s="66">
        <v>9.9537037037037042E-3</v>
      </c>
      <c r="J93" s="66">
        <v>1.4490740740740742E-2</v>
      </c>
      <c r="K93" s="66">
        <v>1.7650462962962962E-2</v>
      </c>
      <c r="L93" s="66">
        <v>2.071759259259259E-2</v>
      </c>
      <c r="M93" s="66">
        <v>2.3009259259259257E-2</v>
      </c>
      <c r="N93" s="66">
        <v>2.6793981481481485E-2</v>
      </c>
      <c r="O93" s="66">
        <v>3.6689814814814821E-2</v>
      </c>
      <c r="P93" s="26">
        <v>3.9884259259259258E-2</v>
      </c>
      <c r="Q93" s="26">
        <v>4.3518518518518519E-2</v>
      </c>
      <c r="R93" s="26">
        <v>5.0555555555555555E-2</v>
      </c>
      <c r="S93" s="26">
        <f t="shared" si="31"/>
        <v>5.1342592592592586E-2</v>
      </c>
      <c r="U93" s="44" t="s">
        <v>542</v>
      </c>
      <c r="V93" s="44" t="s">
        <v>532</v>
      </c>
      <c r="W93" s="44" t="s">
        <v>581</v>
      </c>
    </row>
    <row r="94" spans="1:23" x14ac:dyDescent="0.25">
      <c r="A94" s="25"/>
      <c r="C94" s="45" t="s">
        <v>267</v>
      </c>
      <c r="D94" s="25">
        <v>211</v>
      </c>
      <c r="E94" s="25" t="s">
        <v>169</v>
      </c>
      <c r="F94" s="26">
        <v>5.0682870370370371E-2</v>
      </c>
      <c r="H94" s="66">
        <v>6.3657407407407399E-2</v>
      </c>
      <c r="I94" s="66">
        <v>6.6319444444444445E-2</v>
      </c>
      <c r="J94" s="66">
        <v>7.228009259259259E-2</v>
      </c>
      <c r="K94" s="66">
        <v>7.7974537037037037E-2</v>
      </c>
      <c r="L94" s="66">
        <v>8.2060185185185194E-2</v>
      </c>
      <c r="M94" s="66">
        <v>8.3587962962962961E-2</v>
      </c>
      <c r="N94" s="66">
        <v>8.59375E-2</v>
      </c>
      <c r="O94" s="66">
        <v>9.0023148148148144E-2</v>
      </c>
      <c r="P94" s="26">
        <v>9.3900462962962963E-2</v>
      </c>
      <c r="Q94" s="26">
        <v>9.7685185185185194E-2</v>
      </c>
      <c r="R94" s="26">
        <v>0.10130787037037037</v>
      </c>
      <c r="S94" s="26">
        <f t="shared" si="32"/>
        <v>0.10202546296296296</v>
      </c>
      <c r="U94" s="44" t="s">
        <v>543</v>
      </c>
      <c r="V94" s="44" t="s">
        <v>533</v>
      </c>
      <c r="W94" s="44" t="s">
        <v>588</v>
      </c>
    </row>
    <row r="95" spans="1:23" x14ac:dyDescent="0.25">
      <c r="A95" s="25"/>
      <c r="C95" s="45" t="s">
        <v>226</v>
      </c>
      <c r="D95" s="25">
        <v>311</v>
      </c>
      <c r="E95" s="25" t="s">
        <v>78</v>
      </c>
      <c r="F95" s="26">
        <v>6.6689814814814813E-2</v>
      </c>
      <c r="H95" s="66">
        <v>0.1097800925925926</v>
      </c>
      <c r="I95" s="66">
        <v>0.11746527777777778</v>
      </c>
      <c r="J95" s="66">
        <v>0.13342592592592592</v>
      </c>
      <c r="K95" s="66">
        <v>0.13622685185185185</v>
      </c>
      <c r="L95" s="66">
        <v>0.14056712962962961</v>
      </c>
      <c r="M95" s="66">
        <v>0.14435185185185184</v>
      </c>
      <c r="N95" s="66">
        <v>0.14751157407407409</v>
      </c>
      <c r="O95" s="66">
        <v>0.15234953703703705</v>
      </c>
      <c r="P95" s="26">
        <v>0.15844907407407408</v>
      </c>
      <c r="Q95" s="26">
        <v>0.16424768518518518</v>
      </c>
      <c r="R95" s="26">
        <v>0.16809027777777777</v>
      </c>
      <c r="S95" s="26">
        <f t="shared" si="38"/>
        <v>0.16871527777777778</v>
      </c>
      <c r="U95" s="44" t="s">
        <v>544</v>
      </c>
      <c r="V95" s="44" t="s">
        <v>534</v>
      </c>
      <c r="W95" s="44" t="s">
        <v>593</v>
      </c>
    </row>
    <row r="96" spans="1:23" x14ac:dyDescent="0.25">
      <c r="C96" s="45" t="s">
        <v>231</v>
      </c>
      <c r="D96" s="25">
        <v>411</v>
      </c>
      <c r="E96" s="25" t="s">
        <v>78</v>
      </c>
      <c r="F96" s="26">
        <v>5.4363425925925933E-2</v>
      </c>
      <c r="H96" s="66">
        <v>0.17598379629629632</v>
      </c>
      <c r="I96" s="66">
        <v>0.1789699074074074</v>
      </c>
      <c r="J96" s="66">
        <v>0.18368055555555554</v>
      </c>
      <c r="K96" s="66">
        <v>0.19184027777777779</v>
      </c>
      <c r="L96" s="66">
        <v>0.19594907407407405</v>
      </c>
      <c r="M96" s="66">
        <v>0.20032407407407407</v>
      </c>
      <c r="N96" s="66">
        <v>0.20390046296296296</v>
      </c>
      <c r="O96" s="66">
        <v>0.20673611111111112</v>
      </c>
      <c r="P96" s="26">
        <v>0.21221064814814816</v>
      </c>
      <c r="Q96" s="26">
        <v>0.21631944444444443</v>
      </c>
      <c r="R96" s="26">
        <v>0.22216435185185188</v>
      </c>
      <c r="S96" s="26">
        <f t="shared" si="39"/>
        <v>0.22307870370370372</v>
      </c>
      <c r="U96" s="44" t="s">
        <v>545</v>
      </c>
      <c r="V96" s="44" t="s">
        <v>546</v>
      </c>
      <c r="W96" s="44" t="s">
        <v>607</v>
      </c>
    </row>
    <row r="98" spans="1:23" x14ac:dyDescent="0.25">
      <c r="H98" s="66">
        <f>H93</f>
        <v>4.8032407407407407E-3</v>
      </c>
      <c r="I98" s="66">
        <f>I93-H93</f>
        <v>5.1504629629629635E-3</v>
      </c>
      <c r="J98" s="66">
        <f t="shared" ref="J98:S98" si="44">J93-I93</f>
        <v>4.5370370370370373E-3</v>
      </c>
      <c r="K98" s="66">
        <f t="shared" si="44"/>
        <v>3.15972222222222E-3</v>
      </c>
      <c r="L98" s="66">
        <f t="shared" si="44"/>
        <v>3.067129629629628E-3</v>
      </c>
      <c r="M98" s="66">
        <f t="shared" si="44"/>
        <v>2.2916666666666675E-3</v>
      </c>
      <c r="N98" s="66">
        <f t="shared" si="44"/>
        <v>3.7847222222222275E-3</v>
      </c>
      <c r="O98" s="66">
        <f t="shared" si="44"/>
        <v>9.8958333333333363E-3</v>
      </c>
      <c r="P98" s="66">
        <f t="shared" si="44"/>
        <v>3.1944444444444373E-3</v>
      </c>
      <c r="Q98" s="66">
        <f t="shared" si="44"/>
        <v>3.6342592592592607E-3</v>
      </c>
      <c r="R98" s="66">
        <f t="shared" si="44"/>
        <v>7.0370370370370361E-3</v>
      </c>
      <c r="S98" s="66">
        <f t="shared" si="44"/>
        <v>7.8703703703703054E-4</v>
      </c>
    </row>
    <row r="99" spans="1:23" x14ac:dyDescent="0.25">
      <c r="H99" s="66">
        <f>H94-S93</f>
        <v>1.2314814814814813E-2</v>
      </c>
      <c r="I99" s="66">
        <f t="shared" ref="I99:S101" si="45">I94-H94</f>
        <v>2.6620370370370461E-3</v>
      </c>
      <c r="J99" s="66">
        <f t="shared" si="45"/>
        <v>5.9606481481481455E-3</v>
      </c>
      <c r="K99" s="66">
        <f t="shared" si="45"/>
        <v>5.6944444444444464E-3</v>
      </c>
      <c r="L99" s="66">
        <f t="shared" si="45"/>
        <v>4.0856481481481577E-3</v>
      </c>
      <c r="M99" s="66">
        <f t="shared" si="45"/>
        <v>1.5277777777777668E-3</v>
      </c>
      <c r="N99" s="66">
        <f t="shared" si="45"/>
        <v>2.3495370370370389E-3</v>
      </c>
      <c r="O99" s="66">
        <f t="shared" si="45"/>
        <v>4.0856481481481438E-3</v>
      </c>
      <c r="P99" s="66">
        <f t="shared" si="45"/>
        <v>3.8773148148148195E-3</v>
      </c>
      <c r="Q99" s="66">
        <f t="shared" si="45"/>
        <v>3.784722222222231E-3</v>
      </c>
      <c r="R99" s="66">
        <f t="shared" si="45"/>
        <v>3.6226851851851732E-3</v>
      </c>
      <c r="S99" s="66">
        <f t="shared" si="45"/>
        <v>7.1759259259258912E-4</v>
      </c>
    </row>
    <row r="100" spans="1:23" x14ac:dyDescent="0.25">
      <c r="H100" s="66">
        <f t="shared" ref="H100:H101" si="46">H95-S94</f>
        <v>7.7546296296296391E-3</v>
      </c>
      <c r="I100" s="66">
        <f t="shared" si="45"/>
        <v>7.6851851851851838E-3</v>
      </c>
      <c r="J100" s="66">
        <f t="shared" si="45"/>
        <v>1.596064814814814E-2</v>
      </c>
      <c r="K100" s="66">
        <f t="shared" si="45"/>
        <v>2.8009259259259289E-3</v>
      </c>
      <c r="L100" s="66">
        <f t="shared" si="45"/>
        <v>4.3402777777777624E-3</v>
      </c>
      <c r="M100" s="66">
        <f t="shared" si="45"/>
        <v>3.784722222222231E-3</v>
      </c>
      <c r="N100" s="66">
        <f t="shared" si="45"/>
        <v>3.1597222222222443E-3</v>
      </c>
      <c r="O100" s="66">
        <f t="shared" si="45"/>
        <v>4.8379629629629606E-3</v>
      </c>
      <c r="P100" s="66">
        <f t="shared" si="45"/>
        <v>6.0995370370370283E-3</v>
      </c>
      <c r="Q100" s="66">
        <f t="shared" si="45"/>
        <v>5.7986111111111016E-3</v>
      </c>
      <c r="R100" s="66">
        <f t="shared" si="45"/>
        <v>3.8425925925925919E-3</v>
      </c>
      <c r="S100" s="66">
        <f t="shared" si="45"/>
        <v>6.2500000000001443E-4</v>
      </c>
    </row>
    <row r="101" spans="1:23" x14ac:dyDescent="0.25">
      <c r="H101" s="66">
        <f t="shared" si="46"/>
        <v>7.2685185185185353E-3</v>
      </c>
      <c r="I101" s="66">
        <f t="shared" si="45"/>
        <v>2.9861111111110783E-3</v>
      </c>
      <c r="J101" s="66">
        <f t="shared" si="45"/>
        <v>4.7106481481481444E-3</v>
      </c>
      <c r="K101" s="66">
        <f t="shared" si="45"/>
        <v>8.1597222222222487E-3</v>
      </c>
      <c r="L101" s="66">
        <f t="shared" si="45"/>
        <v>4.1087962962962632E-3</v>
      </c>
      <c r="M101" s="66">
        <f t="shared" si="45"/>
        <v>4.3750000000000178E-3</v>
      </c>
      <c r="N101" s="66">
        <f t="shared" si="45"/>
        <v>3.5763888888888928E-3</v>
      </c>
      <c r="O101" s="66">
        <f t="shared" si="45"/>
        <v>2.8356481481481566E-3</v>
      </c>
      <c r="P101" s="66">
        <f t="shared" si="45"/>
        <v>5.4745370370370416E-3</v>
      </c>
      <c r="Q101" s="66">
        <f t="shared" si="45"/>
        <v>4.1087962962962632E-3</v>
      </c>
      <c r="R101" s="66">
        <f t="shared" si="45"/>
        <v>5.8449074074074514E-3</v>
      </c>
      <c r="S101" s="66">
        <f t="shared" si="45"/>
        <v>9.1435185185184675E-4</v>
      </c>
    </row>
    <row r="103" spans="1:23" x14ac:dyDescent="0.25">
      <c r="A103" s="25">
        <v>9</v>
      </c>
      <c r="B103" s="24" t="s">
        <v>16</v>
      </c>
      <c r="C103" s="45" t="s">
        <v>285</v>
      </c>
      <c r="D103" s="25">
        <v>114</v>
      </c>
      <c r="E103" s="25" t="s">
        <v>169</v>
      </c>
      <c r="F103" s="26">
        <v>6.5972222222222224E-2</v>
      </c>
      <c r="H103" s="26">
        <v>1.9502314814814816E-2</v>
      </c>
      <c r="I103" s="26">
        <v>2.1921296296296296E-2</v>
      </c>
      <c r="J103" s="26">
        <v>2.7951388888888887E-2</v>
      </c>
      <c r="K103" s="26">
        <v>3.4490740740740738E-2</v>
      </c>
      <c r="L103" s="26">
        <v>3.9699074074074074E-2</v>
      </c>
      <c r="M103" s="26">
        <v>4.2708333333333327E-2</v>
      </c>
      <c r="N103" s="26">
        <v>4.731481481481481E-2</v>
      </c>
      <c r="O103" s="26">
        <v>5.1793981481481483E-2</v>
      </c>
      <c r="P103" s="26">
        <v>5.5983796296296295E-2</v>
      </c>
      <c r="Q103" s="26">
        <v>6.1689814814814815E-2</v>
      </c>
      <c r="R103" s="26">
        <v>6.5254629629629635E-2</v>
      </c>
      <c r="S103" s="26">
        <f t="shared" si="31"/>
        <v>6.5972222222222224E-2</v>
      </c>
      <c r="U103" s="44" t="s">
        <v>538</v>
      </c>
      <c r="V103" s="44" t="s">
        <v>532</v>
      </c>
      <c r="W103" s="44" t="s">
        <v>583</v>
      </c>
    </row>
    <row r="104" spans="1:23" x14ac:dyDescent="0.25">
      <c r="C104" s="45" t="s">
        <v>288</v>
      </c>
      <c r="D104" s="25">
        <v>214</v>
      </c>
      <c r="E104" s="25" t="s">
        <v>78</v>
      </c>
      <c r="F104" s="26">
        <v>4.7303240740740743E-2</v>
      </c>
      <c r="H104" s="26">
        <v>7.1354166666666663E-2</v>
      </c>
      <c r="I104" s="26">
        <v>7.5196759259259269E-2</v>
      </c>
      <c r="J104" s="26">
        <v>8.6145833333333324E-2</v>
      </c>
      <c r="K104" s="26">
        <v>8.998842592592593E-2</v>
      </c>
      <c r="L104" s="26">
        <v>9.3518518518518515E-2</v>
      </c>
      <c r="M104" s="26">
        <v>9.5347222222222208E-2</v>
      </c>
      <c r="N104" s="26">
        <v>9.8900462962962954E-2</v>
      </c>
      <c r="O104" s="26">
        <v>0.10266203703703704</v>
      </c>
      <c r="P104" s="26">
        <v>0.1074074074074074</v>
      </c>
      <c r="Q104" s="26">
        <v>0.11001157407407407</v>
      </c>
      <c r="R104" s="26">
        <v>0.11255787037037036</v>
      </c>
      <c r="S104" s="26">
        <f t="shared" si="32"/>
        <v>0.11327546296296297</v>
      </c>
      <c r="U104" s="44" t="s">
        <v>539</v>
      </c>
      <c r="V104" s="44" t="s">
        <v>535</v>
      </c>
      <c r="W104" s="44" t="s">
        <v>589</v>
      </c>
    </row>
    <row r="105" spans="1:23" x14ac:dyDescent="0.25">
      <c r="C105" s="45" t="s">
        <v>283</v>
      </c>
      <c r="D105" s="25">
        <v>314</v>
      </c>
      <c r="E105" s="25" t="s">
        <v>169</v>
      </c>
      <c r="F105" s="26">
        <v>6.2696759259259258E-2</v>
      </c>
      <c r="H105" s="26">
        <v>0.12523148148148147</v>
      </c>
      <c r="I105" s="26">
        <v>0.13015046296296295</v>
      </c>
      <c r="J105" s="26">
        <v>0.13622685185185185</v>
      </c>
      <c r="K105" s="26">
        <v>0.14067129629629629</v>
      </c>
      <c r="L105" s="26">
        <v>0.14403935185185185</v>
      </c>
      <c r="M105" s="26">
        <v>0.14613425925925927</v>
      </c>
      <c r="N105" s="26">
        <v>0.15109953703703705</v>
      </c>
      <c r="O105" s="26">
        <v>0.15777777777777777</v>
      </c>
      <c r="P105" s="26">
        <v>0.16233796296296296</v>
      </c>
      <c r="Q105" s="26">
        <v>0.16905092592592594</v>
      </c>
      <c r="R105" s="26">
        <v>0.17524305555555555</v>
      </c>
      <c r="S105" s="26">
        <f t="shared" si="38"/>
        <v>0.17597222222222222</v>
      </c>
      <c r="U105" s="44" t="s">
        <v>540</v>
      </c>
      <c r="V105" s="44" t="s">
        <v>536</v>
      </c>
      <c r="W105" s="44" t="s">
        <v>591</v>
      </c>
    </row>
    <row r="106" spans="1:23" x14ac:dyDescent="0.25">
      <c r="C106" s="45" t="s">
        <v>291</v>
      </c>
      <c r="D106" s="25">
        <v>414</v>
      </c>
      <c r="E106" s="25" t="s">
        <v>169</v>
      </c>
      <c r="F106" s="26">
        <v>6.2210648148148147E-2</v>
      </c>
      <c r="H106" s="26">
        <v>0.18668981481481481</v>
      </c>
      <c r="I106" s="26">
        <v>0.19168981481481481</v>
      </c>
      <c r="J106" s="26">
        <v>0.20077546296296298</v>
      </c>
      <c r="K106" s="26">
        <v>0.20254629629629628</v>
      </c>
      <c r="L106" s="26"/>
      <c r="M106" s="26">
        <v>0.20848379629629629</v>
      </c>
      <c r="N106" s="26">
        <v>0.21131944444444442</v>
      </c>
      <c r="O106" s="26">
        <v>0.21497685185185186</v>
      </c>
      <c r="P106" s="26">
        <v>0.21961805555555555</v>
      </c>
      <c r="Q106" s="26">
        <v>0.22690972222222225</v>
      </c>
      <c r="R106" s="26">
        <v>0.23715277777777777</v>
      </c>
      <c r="S106" s="26">
        <f t="shared" si="39"/>
        <v>0.23818287037037036</v>
      </c>
      <c r="U106" s="44" t="s">
        <v>541</v>
      </c>
      <c r="V106" s="44" t="s">
        <v>537</v>
      </c>
      <c r="W106" s="44" t="s">
        <v>600</v>
      </c>
    </row>
    <row r="108" spans="1:23" x14ac:dyDescent="0.25">
      <c r="H108" s="26">
        <f>H103</f>
        <v>1.9502314814814816E-2</v>
      </c>
      <c r="I108" s="26">
        <f>I103-H103</f>
        <v>2.4189814814814803E-3</v>
      </c>
      <c r="J108" s="26">
        <f t="shared" ref="J108:S108" si="47">J103-I103</f>
        <v>6.0300925925925904E-3</v>
      </c>
      <c r="K108" s="26">
        <f t="shared" si="47"/>
        <v>6.5393518518518517E-3</v>
      </c>
      <c r="L108" s="26">
        <f t="shared" si="47"/>
        <v>5.2083333333333356E-3</v>
      </c>
      <c r="M108" s="26">
        <f t="shared" si="47"/>
        <v>3.0092592592592532E-3</v>
      </c>
      <c r="N108" s="26">
        <f t="shared" si="47"/>
        <v>4.6064814814814822E-3</v>
      </c>
      <c r="O108" s="26">
        <f t="shared" si="47"/>
        <v>4.479166666666673E-3</v>
      </c>
      <c r="P108" s="26">
        <f t="shared" si="47"/>
        <v>4.1898148148148129E-3</v>
      </c>
      <c r="Q108" s="26">
        <f t="shared" si="47"/>
        <v>5.70601851851852E-3</v>
      </c>
      <c r="R108" s="26">
        <f t="shared" si="47"/>
        <v>3.5648148148148193E-3</v>
      </c>
      <c r="S108" s="26">
        <f t="shared" si="47"/>
        <v>7.1759259259258912E-4</v>
      </c>
    </row>
    <row r="109" spans="1:23" x14ac:dyDescent="0.25">
      <c r="H109" s="26">
        <f>H104-S103</f>
        <v>5.3819444444444392E-3</v>
      </c>
      <c r="I109" s="26">
        <f t="shared" ref="I109:S111" si="48">I104-H104</f>
        <v>3.8425925925926058E-3</v>
      </c>
      <c r="J109" s="26">
        <f t="shared" si="48"/>
        <v>1.0949074074074056E-2</v>
      </c>
      <c r="K109" s="26">
        <f t="shared" si="48"/>
        <v>3.8425925925926058E-3</v>
      </c>
      <c r="L109" s="26">
        <f t="shared" si="48"/>
        <v>3.5300925925925847E-3</v>
      </c>
      <c r="M109" s="26">
        <f t="shared" si="48"/>
        <v>1.8287037037036935E-3</v>
      </c>
      <c r="N109" s="26">
        <f t="shared" si="48"/>
        <v>3.5532407407407457E-3</v>
      </c>
      <c r="O109" s="26">
        <f t="shared" si="48"/>
        <v>3.7615740740740838E-3</v>
      </c>
      <c r="P109" s="26">
        <f t="shared" si="48"/>
        <v>4.7453703703703581E-3</v>
      </c>
      <c r="Q109" s="26">
        <f t="shared" si="48"/>
        <v>2.6041666666666713E-3</v>
      </c>
      <c r="R109" s="26">
        <f t="shared" si="48"/>
        <v>2.5462962962962965E-3</v>
      </c>
      <c r="S109" s="26">
        <f t="shared" si="48"/>
        <v>7.17592592592603E-4</v>
      </c>
    </row>
    <row r="110" spans="1:23" x14ac:dyDescent="0.25">
      <c r="H110" s="26">
        <f t="shared" ref="H110:H111" si="49">H105-S104</f>
        <v>1.1956018518518505E-2</v>
      </c>
      <c r="I110" s="26">
        <f t="shared" si="48"/>
        <v>4.9189814814814825E-3</v>
      </c>
      <c r="J110" s="26">
        <f t="shared" si="48"/>
        <v>6.0763888888888951E-3</v>
      </c>
      <c r="K110" s="26">
        <f t="shared" si="48"/>
        <v>4.4444444444444453E-3</v>
      </c>
      <c r="L110" s="26">
        <f t="shared" si="48"/>
        <v>3.3680555555555547E-3</v>
      </c>
      <c r="M110" s="26">
        <f t="shared" si="48"/>
        <v>2.0949074074074203E-3</v>
      </c>
      <c r="N110" s="26">
        <f t="shared" si="48"/>
        <v>4.9652777777777768E-3</v>
      </c>
      <c r="O110" s="26">
        <f t="shared" si="48"/>
        <v>6.6782407407407207E-3</v>
      </c>
      <c r="P110" s="26">
        <f t="shared" si="48"/>
        <v>4.5601851851851949E-3</v>
      </c>
      <c r="Q110" s="26">
        <f t="shared" si="48"/>
        <v>6.7129629629629761E-3</v>
      </c>
      <c r="R110" s="26">
        <f t="shared" si="48"/>
        <v>6.1921296296296169E-3</v>
      </c>
      <c r="S110" s="26">
        <f t="shared" si="48"/>
        <v>7.2916666666666963E-4</v>
      </c>
    </row>
    <row r="111" spans="1:23" x14ac:dyDescent="0.25">
      <c r="H111" s="26">
        <f t="shared" si="49"/>
        <v>1.0717592592592584E-2</v>
      </c>
      <c r="I111" s="26">
        <f t="shared" si="48"/>
        <v>5.0000000000000044E-3</v>
      </c>
      <c r="J111" s="26">
        <f t="shared" si="48"/>
        <v>9.0856481481481621E-3</v>
      </c>
      <c r="K111" s="26">
        <f t="shared" si="48"/>
        <v>1.7708333333333048E-3</v>
      </c>
      <c r="L111" s="26"/>
      <c r="M111" s="26"/>
      <c r="N111" s="26">
        <f t="shared" si="48"/>
        <v>2.8356481481481288E-3</v>
      </c>
      <c r="O111" s="26">
        <f t="shared" si="48"/>
        <v>3.6574074074074425E-3</v>
      </c>
      <c r="P111" s="26">
        <f t="shared" si="48"/>
        <v>4.6412037037036891E-3</v>
      </c>
      <c r="Q111" s="26">
        <f t="shared" si="48"/>
        <v>7.2916666666666963E-3</v>
      </c>
      <c r="R111" s="26">
        <f t="shared" si="48"/>
        <v>1.0243055555555519E-2</v>
      </c>
      <c r="S111" s="26">
        <f t="shared" si="48"/>
        <v>1.0300925925925963E-3</v>
      </c>
    </row>
    <row r="116" spans="5:6" x14ac:dyDescent="0.25">
      <c r="E116" s="25" t="s">
        <v>468</v>
      </c>
      <c r="F116" s="60" t="s">
        <v>499</v>
      </c>
    </row>
    <row r="117" spans="5:6" x14ac:dyDescent="0.25">
      <c r="E117" s="25" t="s">
        <v>469</v>
      </c>
      <c r="F117" s="60" t="s">
        <v>500</v>
      </c>
    </row>
    <row r="118" spans="5:6" x14ac:dyDescent="0.25">
      <c r="E118" s="25" t="s">
        <v>470</v>
      </c>
      <c r="F118" s="60" t="s">
        <v>501</v>
      </c>
    </row>
    <row r="119" spans="5:6" x14ac:dyDescent="0.25">
      <c r="E119" s="25" t="s">
        <v>471</v>
      </c>
      <c r="F119" s="60" t="s">
        <v>502</v>
      </c>
    </row>
    <row r="120" spans="5:6" x14ac:dyDescent="0.25">
      <c r="E120" s="25" t="s">
        <v>472</v>
      </c>
      <c r="F120" s="60" t="s">
        <v>503</v>
      </c>
    </row>
    <row r="121" spans="5:6" x14ac:dyDescent="0.25">
      <c r="E121" s="25" t="s">
        <v>473</v>
      </c>
      <c r="F121" s="60" t="s">
        <v>504</v>
      </c>
    </row>
    <row r="122" spans="5:6" x14ac:dyDescent="0.25">
      <c r="E122" s="25" t="s">
        <v>474</v>
      </c>
      <c r="F122" s="60" t="s">
        <v>505</v>
      </c>
    </row>
    <row r="123" spans="5:6" x14ac:dyDescent="0.25">
      <c r="E123" s="25" t="s">
        <v>475</v>
      </c>
      <c r="F123" s="60" t="s">
        <v>506</v>
      </c>
    </row>
    <row r="124" spans="5:6" x14ac:dyDescent="0.25">
      <c r="E124" s="25" t="s">
        <v>10</v>
      </c>
      <c r="F124" s="60" t="s">
        <v>507</v>
      </c>
    </row>
    <row r="125" spans="5:6" x14ac:dyDescent="0.25">
      <c r="E125" s="25" t="s">
        <v>476</v>
      </c>
      <c r="F125" s="60" t="s">
        <v>508</v>
      </c>
    </row>
    <row r="126" spans="5:6" x14ac:dyDescent="0.25">
      <c r="E126" s="25" t="s">
        <v>477</v>
      </c>
      <c r="F126" s="60" t="s">
        <v>509</v>
      </c>
    </row>
    <row r="127" spans="5:6" x14ac:dyDescent="0.25">
      <c r="E127" s="25" t="s">
        <v>478</v>
      </c>
      <c r="F127" s="60" t="s">
        <v>510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1:D142"/>
  <sheetViews>
    <sheetView topLeftCell="A120" workbookViewId="0">
      <selection activeCell="C142" sqref="C142"/>
    </sheetView>
  </sheetViews>
  <sheetFormatPr defaultRowHeight="13.2" x14ac:dyDescent="0.25"/>
  <cols>
    <col min="1" max="1" width="8.5546875" customWidth="1"/>
    <col min="2" max="2" width="23.77734375" customWidth="1"/>
    <col min="3" max="3" width="13.88671875"/>
    <col min="4" max="4" width="14.6640625"/>
    <col min="5" max="5" width="12.44140625"/>
    <col min="6" max="6" width="9.21875"/>
    <col min="7" max="7" width="14.6640625"/>
    <col min="8" max="8" width="10.5546875"/>
    <col min="9" max="9" width="11.77734375"/>
  </cols>
  <sheetData>
    <row r="111" spans="1:2" x14ac:dyDescent="0.25">
      <c r="A111" s="1" t="s">
        <v>0</v>
      </c>
      <c r="B111" s="1"/>
    </row>
    <row r="112" spans="1:2" x14ac:dyDescent="0.25">
      <c r="A112" s="1" t="s">
        <v>1</v>
      </c>
      <c r="B112" s="1"/>
    </row>
    <row r="113" spans="1:4" x14ac:dyDescent="0.25">
      <c r="A113" s="1"/>
      <c r="B113" s="1"/>
    </row>
    <row r="114" spans="1:4" x14ac:dyDescent="0.25">
      <c r="A114" s="1" t="s">
        <v>31</v>
      </c>
      <c r="B114" s="1"/>
    </row>
    <row r="115" spans="1:4" x14ac:dyDescent="0.25">
      <c r="A115" s="1" t="s">
        <v>32</v>
      </c>
      <c r="B115" s="1"/>
    </row>
    <row r="116" spans="1:4" x14ac:dyDescent="0.25">
      <c r="A116" s="1"/>
      <c r="B116" s="1"/>
    </row>
    <row r="117" spans="1:4" x14ac:dyDescent="0.25">
      <c r="A117" s="1" t="s">
        <v>139</v>
      </c>
      <c r="B117" s="1"/>
    </row>
    <row r="118" spans="1:4" x14ac:dyDescent="0.25">
      <c r="A118" s="1" t="s">
        <v>294</v>
      </c>
      <c r="B118" s="1"/>
    </row>
    <row r="119" spans="1:4" x14ac:dyDescent="0.25">
      <c r="A119" s="1"/>
      <c r="B119" s="1"/>
    </row>
    <row r="120" spans="1:4" x14ac:dyDescent="0.25">
      <c r="A120" s="1" t="s">
        <v>293</v>
      </c>
      <c r="B120" s="1"/>
    </row>
    <row r="121" spans="1:4" x14ac:dyDescent="0.25">
      <c r="A121" s="1" t="s">
        <v>142</v>
      </c>
      <c r="B121" s="1"/>
    </row>
    <row r="122" spans="1:4" x14ac:dyDescent="0.25">
      <c r="A122" s="1"/>
      <c r="B122" s="1"/>
    </row>
    <row r="123" spans="1:4" x14ac:dyDescent="0.25">
      <c r="A123" s="1" t="s">
        <v>608</v>
      </c>
      <c r="B123" s="1"/>
    </row>
    <row r="124" spans="1:4" x14ac:dyDescent="0.25">
      <c r="A124" s="1"/>
      <c r="B124" s="1"/>
    </row>
    <row r="125" spans="1:4" x14ac:dyDescent="0.25">
      <c r="B125" s="1"/>
    </row>
    <row r="126" spans="1:4" ht="24" customHeight="1" x14ac:dyDescent="0.25">
      <c r="A126" s="4" t="s">
        <v>33</v>
      </c>
      <c r="B126" s="4" t="s">
        <v>6</v>
      </c>
      <c r="C126" s="4" t="s">
        <v>150</v>
      </c>
      <c r="D126" s="4" t="s">
        <v>34</v>
      </c>
    </row>
    <row r="127" spans="1:4" x14ac:dyDescent="0.25">
      <c r="A127" s="71">
        <v>1</v>
      </c>
      <c r="B127" s="73" t="s">
        <v>22</v>
      </c>
      <c r="C127" s="72">
        <v>8.2534722222222232E-2</v>
      </c>
      <c r="D127" s="71">
        <v>1</v>
      </c>
    </row>
    <row r="128" spans="1:4" x14ac:dyDescent="0.25">
      <c r="A128" s="71">
        <v>2</v>
      </c>
      <c r="B128" s="73" t="s">
        <v>23</v>
      </c>
      <c r="C128" s="72">
        <v>8.3657407407407403E-2</v>
      </c>
      <c r="D128" s="71">
        <v>2</v>
      </c>
    </row>
    <row r="129" spans="1:4" x14ac:dyDescent="0.25">
      <c r="A129" s="71">
        <v>3</v>
      </c>
      <c r="B129" s="73" t="s">
        <v>24</v>
      </c>
      <c r="C129" s="72">
        <v>0.11145833333333333</v>
      </c>
      <c r="D129" s="71">
        <v>3</v>
      </c>
    </row>
    <row r="130" spans="1:4" x14ac:dyDescent="0.25">
      <c r="A130" s="6">
        <v>4</v>
      </c>
      <c r="B130" s="73" t="s">
        <v>609</v>
      </c>
      <c r="C130" s="16" t="s">
        <v>610</v>
      </c>
      <c r="D130" s="6"/>
    </row>
    <row r="131" spans="1:4" x14ac:dyDescent="0.25">
      <c r="A131" s="71">
        <v>5</v>
      </c>
      <c r="B131" s="73" t="s">
        <v>26</v>
      </c>
      <c r="C131" s="16" t="s">
        <v>611</v>
      </c>
      <c r="D131" s="71"/>
    </row>
    <row r="134" spans="1:4" x14ac:dyDescent="0.25">
      <c r="A134" s="1" t="s">
        <v>612</v>
      </c>
      <c r="B134" s="1"/>
    </row>
    <row r="135" spans="1:4" x14ac:dyDescent="0.25">
      <c r="A135" s="1"/>
      <c r="B135" s="1"/>
    </row>
    <row r="136" spans="1:4" x14ac:dyDescent="0.25">
      <c r="B136" s="1"/>
    </row>
    <row r="137" spans="1:4" x14ac:dyDescent="0.25">
      <c r="A137" s="4" t="s">
        <v>33</v>
      </c>
      <c r="B137" s="4" t="s">
        <v>6</v>
      </c>
      <c r="C137" s="4" t="s">
        <v>150</v>
      </c>
      <c r="D137" s="4" t="s">
        <v>34</v>
      </c>
    </row>
    <row r="138" spans="1:4" x14ac:dyDescent="0.25">
      <c r="A138" s="71">
        <v>1</v>
      </c>
      <c r="B138" s="73" t="s">
        <v>24</v>
      </c>
      <c r="C138" s="72">
        <v>8.3425925925925917E-2</v>
      </c>
      <c r="D138" s="71">
        <v>1</v>
      </c>
    </row>
    <row r="139" spans="1:4" x14ac:dyDescent="0.25">
      <c r="A139" s="71">
        <v>2</v>
      </c>
      <c r="B139" s="73" t="s">
        <v>22</v>
      </c>
      <c r="C139" s="72">
        <v>8.8692129629629635E-2</v>
      </c>
      <c r="D139" s="71">
        <v>2</v>
      </c>
    </row>
    <row r="140" spans="1:4" x14ac:dyDescent="0.25">
      <c r="A140" s="71">
        <v>3</v>
      </c>
      <c r="B140" s="73" t="s">
        <v>23</v>
      </c>
      <c r="C140" s="72">
        <v>0.10434027777777777</v>
      </c>
      <c r="D140" s="71">
        <v>3</v>
      </c>
    </row>
    <row r="141" spans="1:4" x14ac:dyDescent="0.25">
      <c r="A141" s="6">
        <v>4</v>
      </c>
      <c r="B141" s="73" t="s">
        <v>609</v>
      </c>
      <c r="C141" s="15">
        <v>0.11585648148148148</v>
      </c>
      <c r="D141" s="6">
        <v>4</v>
      </c>
    </row>
    <row r="142" spans="1:4" x14ac:dyDescent="0.25">
      <c r="A142" s="71">
        <v>5</v>
      </c>
      <c r="B142" s="73" t="s">
        <v>26</v>
      </c>
      <c r="C142" s="16" t="s">
        <v>613</v>
      </c>
      <c r="D142" s="7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topLeftCell="A24" workbookViewId="0">
      <selection activeCell="D39" sqref="D39"/>
    </sheetView>
  </sheetViews>
  <sheetFormatPr defaultRowHeight="13.2" x14ac:dyDescent="0.25"/>
  <cols>
    <col min="1" max="1" width="7.33203125" customWidth="1"/>
    <col min="2" max="2" width="21.5546875" customWidth="1"/>
    <col min="3" max="3" width="16.6640625" customWidth="1"/>
    <col min="4" max="4" width="17" customWidth="1"/>
  </cols>
  <sheetData>
    <row r="1" spans="1:1" x14ac:dyDescent="0.25">
      <c r="A1" s="2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x14ac:dyDescent="0.25">
      <c r="A4" s="2" t="s">
        <v>31</v>
      </c>
    </row>
    <row r="5" spans="1:1" x14ac:dyDescent="0.25">
      <c r="A5" s="2" t="s">
        <v>32</v>
      </c>
    </row>
    <row r="6" spans="1:1" x14ac:dyDescent="0.25">
      <c r="A6" s="2"/>
    </row>
    <row r="7" spans="1:1" x14ac:dyDescent="0.25">
      <c r="A7" s="2" t="s">
        <v>139</v>
      </c>
    </row>
    <row r="8" spans="1:1" x14ac:dyDescent="0.25">
      <c r="A8" s="2" t="s">
        <v>140</v>
      </c>
    </row>
    <row r="9" spans="1:1" x14ac:dyDescent="0.25">
      <c r="A9" s="2"/>
    </row>
    <row r="10" spans="1:1" x14ac:dyDescent="0.25">
      <c r="A10" s="2" t="s">
        <v>317</v>
      </c>
    </row>
    <row r="11" spans="1:1" x14ac:dyDescent="0.25">
      <c r="A11" s="2" t="s">
        <v>142</v>
      </c>
    </row>
    <row r="12" spans="1:1" x14ac:dyDescent="0.25">
      <c r="A12" s="2"/>
    </row>
    <row r="13" spans="1:1" x14ac:dyDescent="0.25">
      <c r="A13" s="2" t="s">
        <v>615</v>
      </c>
    </row>
    <row r="14" spans="1:1" x14ac:dyDescent="0.25">
      <c r="A14" s="2" t="s">
        <v>342</v>
      </c>
    </row>
    <row r="15" spans="1:1" x14ac:dyDescent="0.25">
      <c r="A15" s="2"/>
    </row>
    <row r="16" spans="1:1" x14ac:dyDescent="0.25">
      <c r="A16" t="s">
        <v>614</v>
      </c>
    </row>
    <row r="17" spans="1:5" x14ac:dyDescent="0.25">
      <c r="A17" s="2"/>
    </row>
    <row r="18" spans="1:5" x14ac:dyDescent="0.25">
      <c r="A18" s="2" t="s">
        <v>147</v>
      </c>
    </row>
    <row r="20" spans="1:5" x14ac:dyDescent="0.25">
      <c r="A20" s="4" t="s">
        <v>33</v>
      </c>
      <c r="B20" s="4" t="s">
        <v>148</v>
      </c>
      <c r="C20" s="4" t="s">
        <v>6</v>
      </c>
      <c r="D20" s="4" t="s">
        <v>150</v>
      </c>
      <c r="E20" s="4" t="s">
        <v>34</v>
      </c>
    </row>
    <row r="21" spans="1:5" x14ac:dyDescent="0.25">
      <c r="A21" s="76" t="s">
        <v>616</v>
      </c>
      <c r="B21" s="77" t="s">
        <v>617</v>
      </c>
      <c r="C21" s="77" t="s">
        <v>326</v>
      </c>
      <c r="D21" s="78">
        <v>5.7766203703703702E-2</v>
      </c>
      <c r="E21" s="76">
        <v>1</v>
      </c>
    </row>
    <row r="22" spans="1:5" x14ac:dyDescent="0.25">
      <c r="A22" s="76" t="s">
        <v>618</v>
      </c>
      <c r="B22" s="77" t="s">
        <v>619</v>
      </c>
      <c r="C22" s="77" t="s">
        <v>16</v>
      </c>
      <c r="D22" s="78">
        <v>5.859953703703704E-2</v>
      </c>
      <c r="E22" s="76">
        <v>2</v>
      </c>
    </row>
    <row r="23" spans="1:5" x14ac:dyDescent="0.25">
      <c r="A23" s="76" t="s">
        <v>620</v>
      </c>
      <c r="B23" s="77" t="s">
        <v>621</v>
      </c>
      <c r="C23" s="77" t="s">
        <v>326</v>
      </c>
      <c r="D23" s="78">
        <v>5.8726851851851856E-2</v>
      </c>
      <c r="E23" s="76">
        <v>3</v>
      </c>
    </row>
    <row r="24" spans="1:5" x14ac:dyDescent="0.25">
      <c r="A24" s="76" t="s">
        <v>622</v>
      </c>
      <c r="B24" s="77" t="s">
        <v>623</v>
      </c>
      <c r="C24" s="77" t="s">
        <v>326</v>
      </c>
      <c r="D24" s="78">
        <v>6.04050925925926E-2</v>
      </c>
      <c r="E24" s="76">
        <v>4</v>
      </c>
    </row>
    <row r="25" spans="1:5" x14ac:dyDescent="0.25">
      <c r="A25" s="76" t="s">
        <v>624</v>
      </c>
      <c r="B25" s="77" t="s">
        <v>625</v>
      </c>
      <c r="C25" s="77" t="s">
        <v>13</v>
      </c>
      <c r="D25" s="78">
        <v>6.0451388888888895E-2</v>
      </c>
      <c r="E25" s="76">
        <v>5</v>
      </c>
    </row>
    <row r="26" spans="1:5" x14ac:dyDescent="0.25">
      <c r="A26" s="76" t="s">
        <v>626</v>
      </c>
      <c r="B26" s="77" t="s">
        <v>627</v>
      </c>
      <c r="C26" s="77" t="s">
        <v>14</v>
      </c>
      <c r="D26" s="78">
        <v>6.0648148148148145E-2</v>
      </c>
      <c r="E26" s="76">
        <v>6</v>
      </c>
    </row>
    <row r="27" spans="1:5" x14ac:dyDescent="0.25">
      <c r="A27" s="76" t="s">
        <v>628</v>
      </c>
      <c r="B27" s="77" t="s">
        <v>629</v>
      </c>
      <c r="C27" s="77" t="s">
        <v>13</v>
      </c>
      <c r="D27" s="78">
        <v>6.084490740740741E-2</v>
      </c>
      <c r="E27" s="76">
        <v>7</v>
      </c>
    </row>
    <row r="28" spans="1:5" x14ac:dyDescent="0.25">
      <c r="A28" s="76" t="s">
        <v>630</v>
      </c>
      <c r="B28" s="77" t="s">
        <v>631</v>
      </c>
      <c r="C28" s="77" t="s">
        <v>12</v>
      </c>
      <c r="D28" s="78">
        <v>6.1099537037037042E-2</v>
      </c>
      <c r="E28" s="76">
        <v>8</v>
      </c>
    </row>
    <row r="29" spans="1:5" x14ac:dyDescent="0.25">
      <c r="A29" s="76" t="s">
        <v>632</v>
      </c>
      <c r="B29" s="77" t="s">
        <v>633</v>
      </c>
      <c r="C29" s="77" t="s">
        <v>9</v>
      </c>
      <c r="D29" s="78">
        <v>6.1875000000000006E-2</v>
      </c>
      <c r="E29" s="76">
        <v>9</v>
      </c>
    </row>
    <row r="30" spans="1:5" x14ac:dyDescent="0.25">
      <c r="A30" s="76" t="s">
        <v>634</v>
      </c>
      <c r="B30" s="77" t="s">
        <v>635</v>
      </c>
      <c r="C30" s="77" t="s">
        <v>326</v>
      </c>
      <c r="D30" s="78">
        <v>6.1921296296296301E-2</v>
      </c>
      <c r="E30" s="76">
        <v>10</v>
      </c>
    </row>
    <row r="34" spans="1:5" x14ac:dyDescent="0.25">
      <c r="A34" s="2" t="s">
        <v>636</v>
      </c>
    </row>
    <row r="35" spans="1:5" x14ac:dyDescent="0.25">
      <c r="A35" s="2" t="s">
        <v>319</v>
      </c>
    </row>
    <row r="36" spans="1:5" x14ac:dyDescent="0.25">
      <c r="A36" s="1" t="s">
        <v>637</v>
      </c>
    </row>
    <row r="37" spans="1:5" x14ac:dyDescent="0.25">
      <c r="A37" s="2"/>
    </row>
    <row r="38" spans="1:5" x14ac:dyDescent="0.25">
      <c r="A38" s="2" t="s">
        <v>214</v>
      </c>
    </row>
    <row r="40" spans="1:5" x14ac:dyDescent="0.25">
      <c r="A40" s="4" t="s">
        <v>33</v>
      </c>
      <c r="B40" s="4" t="s">
        <v>148</v>
      </c>
      <c r="C40" s="4" t="s">
        <v>6</v>
      </c>
      <c r="D40" s="4" t="s">
        <v>150</v>
      </c>
      <c r="E40" s="4" t="s">
        <v>34</v>
      </c>
    </row>
    <row r="41" spans="1:5" x14ac:dyDescent="0.25">
      <c r="A41" s="76" t="s">
        <v>616</v>
      </c>
      <c r="B41" s="77" t="s">
        <v>638</v>
      </c>
      <c r="C41" s="77" t="s">
        <v>11</v>
      </c>
      <c r="D41" s="78">
        <v>4.7222222222222221E-2</v>
      </c>
      <c r="E41" s="76">
        <v>1</v>
      </c>
    </row>
    <row r="42" spans="1:5" x14ac:dyDescent="0.25">
      <c r="A42" s="76" t="s">
        <v>618</v>
      </c>
      <c r="B42" s="77" t="s">
        <v>639</v>
      </c>
      <c r="C42" s="77" t="s">
        <v>9</v>
      </c>
      <c r="D42" s="78">
        <v>4.7754629629629626E-2</v>
      </c>
      <c r="E42" s="76">
        <v>2</v>
      </c>
    </row>
    <row r="43" spans="1:5" x14ac:dyDescent="0.25">
      <c r="A43" s="76" t="s">
        <v>620</v>
      </c>
      <c r="B43" s="77" t="s">
        <v>640</v>
      </c>
      <c r="C43" s="77" t="s">
        <v>11</v>
      </c>
      <c r="D43" s="78">
        <v>4.8460648148148149E-2</v>
      </c>
      <c r="E43" s="76">
        <v>3</v>
      </c>
    </row>
    <row r="44" spans="1:5" x14ac:dyDescent="0.25">
      <c r="A44" s="76" t="s">
        <v>622</v>
      </c>
      <c r="B44" s="77" t="s">
        <v>641</v>
      </c>
      <c r="C44" s="77" t="s">
        <v>12</v>
      </c>
      <c r="D44" s="78">
        <v>4.8576388888888884E-2</v>
      </c>
      <c r="E44" s="76">
        <v>4</v>
      </c>
    </row>
    <row r="45" spans="1:5" x14ac:dyDescent="0.25">
      <c r="A45" s="76" t="s">
        <v>624</v>
      </c>
      <c r="B45" s="77" t="s">
        <v>642</v>
      </c>
      <c r="C45" s="77" t="s">
        <v>12</v>
      </c>
      <c r="D45" s="78">
        <v>4.9456018518518517E-2</v>
      </c>
      <c r="E45" s="76">
        <v>5</v>
      </c>
    </row>
    <row r="46" spans="1:5" x14ac:dyDescent="0.25">
      <c r="A46" s="76" t="s">
        <v>626</v>
      </c>
      <c r="B46" s="77" t="s">
        <v>643</v>
      </c>
      <c r="C46" s="77" t="s">
        <v>13</v>
      </c>
      <c r="D46" s="78">
        <v>4.9513888888888892E-2</v>
      </c>
      <c r="E46" s="76">
        <v>6</v>
      </c>
    </row>
    <row r="47" spans="1:5" x14ac:dyDescent="0.25">
      <c r="A47" s="76" t="s">
        <v>628</v>
      </c>
      <c r="B47" s="77" t="s">
        <v>644</v>
      </c>
      <c r="C47" s="77" t="s">
        <v>9</v>
      </c>
      <c r="D47" s="78">
        <v>4.9722222222222223E-2</v>
      </c>
      <c r="E47" s="76">
        <v>7</v>
      </c>
    </row>
    <row r="48" spans="1:5" x14ac:dyDescent="0.25">
      <c r="A48" s="76" t="s">
        <v>630</v>
      </c>
      <c r="B48" s="77" t="s">
        <v>645</v>
      </c>
      <c r="C48" s="77" t="s">
        <v>11</v>
      </c>
      <c r="D48" s="78">
        <v>5.0729166666666665E-2</v>
      </c>
      <c r="E48" s="76">
        <v>8</v>
      </c>
    </row>
    <row r="49" spans="1:5" x14ac:dyDescent="0.25">
      <c r="A49" s="76" t="s">
        <v>632</v>
      </c>
      <c r="B49" s="77" t="s">
        <v>646</v>
      </c>
      <c r="C49" s="77" t="s">
        <v>9</v>
      </c>
      <c r="D49" s="78">
        <v>5.077546296296296E-2</v>
      </c>
      <c r="E49" s="76">
        <v>9</v>
      </c>
    </row>
    <row r="50" spans="1:5" x14ac:dyDescent="0.25">
      <c r="A50" s="76" t="s">
        <v>634</v>
      </c>
      <c r="B50" s="77" t="s">
        <v>647</v>
      </c>
      <c r="C50" s="77" t="s">
        <v>9</v>
      </c>
      <c r="D50" s="78">
        <v>5.1018518518518519E-2</v>
      </c>
      <c r="E50" s="76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Итог</vt:lpstr>
      <vt:lpstr>19 м21а</vt:lpstr>
      <vt:lpstr>19 ж21а</vt:lpstr>
      <vt:lpstr>20 м21а</vt:lpstr>
      <vt:lpstr>20 ж21а</vt:lpstr>
      <vt:lpstr>21 ж21</vt:lpstr>
      <vt:lpstr>21 м21</vt:lpstr>
      <vt:lpstr>20 м21а сплит</vt:lpstr>
      <vt:lpstr>20 ж21а сплит</vt:lpstr>
      <vt:lpstr>20 б</vt:lpstr>
      <vt:lpstr>21 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2025-12-23T21:39:31Z</dcterms:modified>
</cp:coreProperties>
</file>