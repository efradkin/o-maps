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ictures\vs\1986 Чемпионат СССР [Каркаралинск]\"/>
    </mc:Choice>
  </mc:AlternateContent>
  <bookViews>
    <workbookView xWindow="0" yWindow="0" windowWidth="23040" windowHeight="8904" tabRatio="706" firstSheet="5" activeTab="14"/>
  </bookViews>
  <sheets>
    <sheet name="10.09 жа" sheetId="1" r:id="rId1"/>
    <sheet name="10.09 жб" sheetId="3" r:id="rId2"/>
    <sheet name="10.09 ма" sheetId="4" r:id="rId3"/>
    <sheet name="10.09 мб" sheetId="6" r:id="rId4"/>
    <sheet name="11.09 м21" sheetId="7" r:id="rId5"/>
    <sheet name="11.09 ж21" sheetId="17" r:id="rId6"/>
    <sheet name="9.09 ма" sheetId="8" r:id="rId7"/>
    <sheet name="9.09 жа" sheetId="15" r:id="rId8"/>
    <sheet name="9.09 жб" sheetId="10" r:id="rId9"/>
    <sheet name="9.09 мб" sheetId="20" r:id="rId10"/>
    <sheet name="Итог" sheetId="12" r:id="rId11"/>
    <sheet name="9.09 итог жа" sheetId="13" r:id="rId12"/>
    <sheet name="9.09 итог ма" sheetId="21" r:id="rId13"/>
    <sheet name="11.09 ж21 сплиты" sheetId="19" r:id="rId14"/>
    <sheet name="11.09 м21 сплиты" sheetId="22" r:id="rId15"/>
  </sheets>
  <calcPr calcId="162913"/>
</workbook>
</file>

<file path=xl/calcChain.xml><?xml version="1.0" encoding="utf-8"?>
<calcChain xmlns="http://schemas.openxmlformats.org/spreadsheetml/2006/main">
  <c r="G28" i="12" l="1"/>
  <c r="G29" i="12"/>
  <c r="G30" i="12"/>
  <c r="G31" i="12"/>
  <c r="G32" i="12"/>
  <c r="G27" i="12"/>
  <c r="G18" i="12"/>
  <c r="G19" i="12"/>
  <c r="G20" i="12"/>
  <c r="G21" i="12"/>
  <c r="G22" i="12"/>
  <c r="G23" i="12"/>
  <c r="G24" i="12"/>
  <c r="G25" i="12"/>
  <c r="G17" i="12"/>
  <c r="G24" i="6" l="1"/>
  <c r="G25" i="6"/>
  <c r="G27" i="6"/>
  <c r="G28" i="6"/>
  <c r="G30" i="6"/>
  <c r="G31" i="6"/>
  <c r="G33" i="6"/>
  <c r="G34" i="6"/>
  <c r="G36" i="6"/>
  <c r="G37" i="6"/>
  <c r="G39" i="6"/>
  <c r="G40" i="6"/>
  <c r="G42" i="6"/>
  <c r="G43" i="6"/>
  <c r="G45" i="6"/>
  <c r="G46" i="6"/>
  <c r="G48" i="6"/>
  <c r="G49" i="6"/>
  <c r="G22" i="6"/>
  <c r="G21" i="6"/>
  <c r="G51" i="4"/>
  <c r="G52" i="4"/>
  <c r="G53" i="4"/>
  <c r="G54" i="4"/>
  <c r="G56" i="4"/>
  <c r="G57" i="4"/>
  <c r="G58" i="4" s="1"/>
  <c r="G59" i="4" s="1"/>
  <c r="G61" i="4"/>
  <c r="G62" i="4"/>
  <c r="G63" i="4"/>
  <c r="G64" i="4"/>
  <c r="G26" i="4"/>
  <c r="G27" i="4"/>
  <c r="G28" i="4" s="1"/>
  <c r="G29" i="4" s="1"/>
  <c r="G31" i="4"/>
  <c r="G32" i="4"/>
  <c r="G33" i="4" s="1"/>
  <c r="G34" i="4" s="1"/>
  <c r="G36" i="4"/>
  <c r="G37" i="4"/>
  <c r="G38" i="4" s="1"/>
  <c r="G39" i="4" s="1"/>
  <c r="G41" i="4"/>
  <c r="G42" i="4"/>
  <c r="G43" i="4"/>
  <c r="G44" i="4"/>
  <c r="G46" i="4"/>
  <c r="G47" i="4"/>
  <c r="G48" i="4" s="1"/>
  <c r="G49" i="4" s="1"/>
  <c r="G24" i="4"/>
  <c r="G23" i="4"/>
  <c r="G22" i="4"/>
  <c r="G21" i="4"/>
  <c r="G24" i="3"/>
  <c r="G25" i="3"/>
  <c r="G27" i="3"/>
  <c r="G28" i="3"/>
  <c r="G30" i="3"/>
  <c r="G31" i="3"/>
  <c r="G33" i="3"/>
  <c r="G34" i="3"/>
  <c r="G36" i="3"/>
  <c r="G37" i="3"/>
  <c r="G39" i="3"/>
  <c r="G40" i="3"/>
  <c r="G22" i="3"/>
  <c r="G21" i="3"/>
  <c r="G56" i="1"/>
  <c r="G57" i="1"/>
  <c r="G58" i="1" s="1"/>
  <c r="G59" i="1" s="1"/>
  <c r="G61" i="1"/>
  <c r="G62" i="1" s="1"/>
  <c r="G63" i="1" s="1"/>
  <c r="G64" i="1" s="1"/>
  <c r="G51" i="1"/>
  <c r="G52" i="1" s="1"/>
  <c r="G53" i="1" s="1"/>
  <c r="G54" i="1" s="1"/>
  <c r="G46" i="1"/>
  <c r="G47" i="1"/>
  <c r="G48" i="1" s="1"/>
  <c r="G49" i="1" s="1"/>
  <c r="G26" i="1"/>
  <c r="G27" i="1" s="1"/>
  <c r="G28" i="1" s="1"/>
  <c r="G29" i="1" s="1"/>
  <c r="G31" i="1"/>
  <c r="G32" i="1" s="1"/>
  <c r="G33" i="1" s="1"/>
  <c r="G34" i="1" s="1"/>
  <c r="G36" i="1"/>
  <c r="G37" i="1" s="1"/>
  <c r="G38" i="1" s="1"/>
  <c r="G39" i="1" s="1"/>
  <c r="G41" i="1"/>
  <c r="G42" i="1" s="1"/>
  <c r="G43" i="1" s="1"/>
  <c r="G44" i="1" s="1"/>
  <c r="G21" i="1"/>
  <c r="G22" i="1" s="1"/>
  <c r="G23" i="1" s="1"/>
  <c r="G24" i="1" s="1"/>
</calcChain>
</file>

<file path=xl/sharedStrings.xml><?xml version="1.0" encoding="utf-8"?>
<sst xmlns="http://schemas.openxmlformats.org/spreadsheetml/2006/main" count="1718" uniqueCount="524">
  <si>
    <t>Государственный комитет СССР по физической культуре и спорту</t>
  </si>
  <si>
    <t>Федерация спортивного ориентирования СССР</t>
  </si>
  <si>
    <t>ПРОТОКОЛ РЕЗУЛЬТАТОВ</t>
  </si>
  <si>
    <t>эстафеты в заданном направлении</t>
  </si>
  <si>
    <t>63</t>
  </si>
  <si>
    <t>73</t>
  </si>
  <si>
    <t>83</t>
  </si>
  <si>
    <t>93</t>
  </si>
  <si>
    <t>65</t>
  </si>
  <si>
    <t>75</t>
  </si>
  <si>
    <t>85</t>
  </si>
  <si>
    <t>Идавайн Марье</t>
  </si>
  <si>
    <t>95</t>
  </si>
  <si>
    <t>3</t>
  </si>
  <si>
    <t>68</t>
  </si>
  <si>
    <t>Матюшкина Татьяна</t>
  </si>
  <si>
    <t>78</t>
  </si>
  <si>
    <t>88</t>
  </si>
  <si>
    <t>Михалко Ирина</t>
  </si>
  <si>
    <t>98</t>
  </si>
  <si>
    <t>4</t>
  </si>
  <si>
    <t>Чемпионат СССР по спортивному ориентированию</t>
  </si>
  <si>
    <t>Карагандинская область, Казахская ССР</t>
  </si>
  <si>
    <t>Длина дистанции 4,8 + 4,8 + 4,8 + 4,8 км</t>
  </si>
  <si>
    <t>Число КП 10 + 10 +10 + 10</t>
  </si>
  <si>
    <t>Контрольное время на 1 этапе 1 час 40 минут</t>
  </si>
  <si>
    <t>10 сентября 1986 года</t>
  </si>
  <si>
    <t>Начальники дистанции: Кузнецов В.П.</t>
  </si>
  <si>
    <t>Группа ЖА</t>
  </si>
  <si>
    <t>№ п/п</t>
  </si>
  <si>
    <t>Команда</t>
  </si>
  <si>
    <t>Фамилия, имя участника</t>
  </si>
  <si>
    <t>№ участника</t>
  </si>
  <si>
    <t>Квалификация</t>
  </si>
  <si>
    <t>Результат участника</t>
  </si>
  <si>
    <t>Результат команды</t>
  </si>
  <si>
    <t>Место</t>
  </si>
  <si>
    <t>Очки</t>
  </si>
  <si>
    <t>Выполненный разряд</t>
  </si>
  <si>
    <t>Литовская ССР</t>
  </si>
  <si>
    <t>Багочюнене Йоланта</t>
  </si>
  <si>
    <t>Куккене Виолета</t>
  </si>
  <si>
    <t>Гиринскайте Дануте</t>
  </si>
  <si>
    <t>Анашова Иоланта</t>
  </si>
  <si>
    <t>МС</t>
  </si>
  <si>
    <t>КМС</t>
  </si>
  <si>
    <t>Ленинград</t>
  </si>
  <si>
    <t>Эстонская ССР</t>
  </si>
  <si>
    <t>РСФСР-2</t>
  </si>
  <si>
    <t>Латвийская ССР</t>
  </si>
  <si>
    <t>Боргунова Алла</t>
  </si>
  <si>
    <t>Стананова Ирина</t>
  </si>
  <si>
    <t>Лалыко Алла</t>
  </si>
  <si>
    <t>Левичева Надежда</t>
  </si>
  <si>
    <t>Йозансон Рийю</t>
  </si>
  <si>
    <t>Юмарик Эде</t>
  </si>
  <si>
    <t>Керем Меэли</t>
  </si>
  <si>
    <t>Борисова Александра</t>
  </si>
  <si>
    <t>Грядова Елена</t>
  </si>
  <si>
    <t>Габране Сармите</t>
  </si>
  <si>
    <t>Кокоревич Ренате</t>
  </si>
  <si>
    <t>Намовир Ирина</t>
  </si>
  <si>
    <t>Зукуле Алида</t>
  </si>
  <si>
    <t>7</t>
  </si>
  <si>
    <t>9</t>
  </si>
  <si>
    <t>Мартышина Алла</t>
  </si>
  <si>
    <t>Глаголева Ольга</t>
  </si>
  <si>
    <t>Блинова Ольга</t>
  </si>
  <si>
    <t>Медведева Арина</t>
  </si>
  <si>
    <t>Москва</t>
  </si>
  <si>
    <t>РСФСР-1</t>
  </si>
  <si>
    <t>Кондрашова Татьяна</t>
  </si>
  <si>
    <t>Черепанова Ольга</t>
  </si>
  <si>
    <t>Кадышева Татьяна</t>
  </si>
  <si>
    <t>Малыгина Надежда</t>
  </si>
  <si>
    <t>Украинская ССР</t>
  </si>
  <si>
    <t>Белорусская ССР</t>
  </si>
  <si>
    <t>Бедрицкая Александра</t>
  </si>
  <si>
    <t>Пароля Леся</t>
  </si>
  <si>
    <t>Чернушка Майя</t>
  </si>
  <si>
    <t>Алешина Алла</t>
  </si>
  <si>
    <t>Пахилко Валентина</t>
  </si>
  <si>
    <t>Леонович Алла</t>
  </si>
  <si>
    <t>Прокопюк Галина</t>
  </si>
  <si>
    <t>Алецкая Наталья</t>
  </si>
  <si>
    <t>Класс дистанции ВС</t>
  </si>
  <si>
    <t>Главный секретарь</t>
  </si>
  <si>
    <t>Ранг соревнований 482,5 баллов</t>
  </si>
  <si>
    <t>КМС - 114%, 3:16:51</t>
  </si>
  <si>
    <t>Главный судья</t>
  </si>
  <si>
    <t>Е. Грановский (СВК)</t>
  </si>
  <si>
    <t>Р. Макарова (СВК)</t>
  </si>
  <si>
    <t>Длина дистанции 3,9 + 3,9 км</t>
  </si>
  <si>
    <t>Число КП 8 + 8</t>
  </si>
  <si>
    <t>Группа ЖБ</t>
  </si>
  <si>
    <t>Голант Мария</t>
  </si>
  <si>
    <t>Коновалова Марина</t>
  </si>
  <si>
    <t>Стародумова Тамара</t>
  </si>
  <si>
    <t>Корнилова Галина</t>
  </si>
  <si>
    <t>Литвинова Людмила</t>
  </si>
  <si>
    <t>Чебаненко Ольга</t>
  </si>
  <si>
    <t>Луценко Анна</t>
  </si>
  <si>
    <t>Голованова Ольга</t>
  </si>
  <si>
    <t>Малышева Татьяна</t>
  </si>
  <si>
    <t>Тетюхина Сония</t>
  </si>
  <si>
    <t>Рогачева Ирина</t>
  </si>
  <si>
    <t>Агаева Азада</t>
  </si>
  <si>
    <t>Аопанадзе Лали</t>
  </si>
  <si>
    <t xml:space="preserve">Головятенко Карина </t>
  </si>
  <si>
    <t>Трофимовайте Раса</t>
  </si>
  <si>
    <t>Майлибаева Виктория</t>
  </si>
  <si>
    <t>Сборная-1</t>
  </si>
  <si>
    <t>Сборная-2</t>
  </si>
  <si>
    <t>Казахская ССР</t>
  </si>
  <si>
    <t>Молдавская ССР</t>
  </si>
  <si>
    <t>Киргизская ССР</t>
  </si>
  <si>
    <t>Узбекская ССР</t>
  </si>
  <si>
    <t>Азербайджанская ССР</t>
  </si>
  <si>
    <t>Грузинская ССР</t>
  </si>
  <si>
    <t>снята по п.п. 5.1.6</t>
  </si>
  <si>
    <t>в/к</t>
  </si>
  <si>
    <t>Ранг соревнований 215 баллов</t>
  </si>
  <si>
    <t>КМС - 105%, 1:08:28</t>
  </si>
  <si>
    <t>Левичев Александр</t>
  </si>
  <si>
    <t>Федоров Николай</t>
  </si>
  <si>
    <t>Алексеев Владимир</t>
  </si>
  <si>
    <t>Игнатьев Александр</t>
  </si>
  <si>
    <t>Шафиков Равиль</t>
  </si>
  <si>
    <t>Каннумяэ Урмас</t>
  </si>
  <si>
    <t>Кобец Сергей</t>
  </si>
  <si>
    <t>Трухан Игорь</t>
  </si>
  <si>
    <t>Кокорин Сергей</t>
  </si>
  <si>
    <t>Длина дистанции 7,8 + 7,8 + 7,8 + 7,8км</t>
  </si>
  <si>
    <t>Число КП 15 + 15 + 15 + 15</t>
  </si>
  <si>
    <t>Начальники дистанции: Щуров А.А.</t>
  </si>
  <si>
    <t>Группа МА</t>
  </si>
  <si>
    <t>Святкин Михаил</t>
  </si>
  <si>
    <t>Лукьянов Валерий</t>
  </si>
  <si>
    <t>Зорин Михаил</t>
  </si>
  <si>
    <t>Халдна Лехо</t>
  </si>
  <si>
    <t>Леэсик Аре</t>
  </si>
  <si>
    <t>Сильд Сикстен</t>
  </si>
  <si>
    <t>Армалис Видас</t>
  </si>
  <si>
    <t>Гипас Витас</t>
  </si>
  <si>
    <t>Алькявичюс Арвидас</t>
  </si>
  <si>
    <t>Кукянис Эгидиюс</t>
  </si>
  <si>
    <t>Михайлов Александр</t>
  </si>
  <si>
    <t>Мисюра Николай</t>
  </si>
  <si>
    <t>Лобес Анатолий</t>
  </si>
  <si>
    <t>Лебедев Андрей</t>
  </si>
  <si>
    <t>Глушко Александр</t>
  </si>
  <si>
    <t>Гипслис Янис</t>
  </si>
  <si>
    <t>15</t>
  </si>
  <si>
    <t>25</t>
  </si>
  <si>
    <t>Лейбомс Айгарс</t>
  </si>
  <si>
    <t>35</t>
  </si>
  <si>
    <t>Шлейнерс Дайнис</t>
  </si>
  <si>
    <t>45</t>
  </si>
  <si>
    <t>14</t>
  </si>
  <si>
    <t>24</t>
  </si>
  <si>
    <t>Симакин Сергей</t>
  </si>
  <si>
    <t>34</t>
  </si>
  <si>
    <t>Кузьмин Иван</t>
  </si>
  <si>
    <t>44</t>
  </si>
  <si>
    <t>Чехлов Виктор</t>
  </si>
  <si>
    <t>16</t>
  </si>
  <si>
    <t>26</t>
  </si>
  <si>
    <t>36</t>
  </si>
  <si>
    <t>Плавило Валентин</t>
  </si>
  <si>
    <t>46</t>
  </si>
  <si>
    <t>Кивлениекс Андрис</t>
  </si>
  <si>
    <t>Саврухин Петр</t>
  </si>
  <si>
    <t>Вышкварко Алексей</t>
  </si>
  <si>
    <t>Семеняков Андрей</t>
  </si>
  <si>
    <t>Ефимов Сергей</t>
  </si>
  <si>
    <t>Ранг соревнований 430 баллов</t>
  </si>
  <si>
    <t>КМС - 114%, 4:18:39</t>
  </si>
  <si>
    <t>Кретинин Александр</t>
  </si>
  <si>
    <t>Тельнов Владимир</t>
  </si>
  <si>
    <t>Ражайтис Андрюс</t>
  </si>
  <si>
    <t>Латарцев Сергей</t>
  </si>
  <si>
    <t>Макейчик Сергей</t>
  </si>
  <si>
    <t>Оседло Владимир</t>
  </si>
  <si>
    <t>Шатохин Виктор</t>
  </si>
  <si>
    <t>Гасанов Гасан</t>
  </si>
  <si>
    <t>Длина дистанции 5,0 + 5,0 км</t>
  </si>
  <si>
    <t>Число КП 9 + 9</t>
  </si>
  <si>
    <t>Группа МБ</t>
  </si>
  <si>
    <t>Сборная-4</t>
  </si>
  <si>
    <t>Сборная-3</t>
  </si>
  <si>
    <t>Гронде Антс</t>
  </si>
  <si>
    <t>Новиков Александр</t>
  </si>
  <si>
    <t>Корчагин Александр</t>
  </si>
  <si>
    <t>Озолиньш Вентис</t>
  </si>
  <si>
    <t>Сямашка Дарюс</t>
  </si>
  <si>
    <t>Зеленский Константин</t>
  </si>
  <si>
    <t>Манкус Гунтарс</t>
  </si>
  <si>
    <t>Епифанов Филипп</t>
  </si>
  <si>
    <t>Сысник Алексей</t>
  </si>
  <si>
    <t>Розниченко Андрей</t>
  </si>
  <si>
    <t>Настенко Георгий</t>
  </si>
  <si>
    <t>Хваделидзе Бендо</t>
  </si>
  <si>
    <t>Ранг соревнований 285 баллов</t>
  </si>
  <si>
    <t>КМС - 108%, 1:04:23</t>
  </si>
  <si>
    <t>соревнований в заданном направлении</t>
  </si>
  <si>
    <t>6</t>
  </si>
  <si>
    <t>13</t>
  </si>
  <si>
    <t>17</t>
  </si>
  <si>
    <t>20</t>
  </si>
  <si>
    <t>21</t>
  </si>
  <si>
    <t>23</t>
  </si>
  <si>
    <t>сошел</t>
  </si>
  <si>
    <t>Результат</t>
  </si>
  <si>
    <t>РСФСР</t>
  </si>
  <si>
    <t>Правило Валентин</t>
  </si>
  <si>
    <t>Ранг соревнований 860 баллов</t>
  </si>
  <si>
    <t>КМС - 123%, 1:57:29</t>
  </si>
  <si>
    <t>Длина дистанции 12,8 км</t>
  </si>
  <si>
    <t>Число КП 20</t>
  </si>
  <si>
    <t>Контрольное время 3 часа</t>
  </si>
  <si>
    <t>11 сентября 1986 года</t>
  </si>
  <si>
    <t>Начальники дистанции: Ковалевский Г.Д.</t>
  </si>
  <si>
    <t>Группа М21</t>
  </si>
  <si>
    <t>9 сентября 1986 года</t>
  </si>
  <si>
    <t>33</t>
  </si>
  <si>
    <t>30</t>
  </si>
  <si>
    <t>27</t>
  </si>
  <si>
    <t>32</t>
  </si>
  <si>
    <t>40</t>
  </si>
  <si>
    <t>31</t>
  </si>
  <si>
    <t>18</t>
  </si>
  <si>
    <t>38</t>
  </si>
  <si>
    <t>57</t>
  </si>
  <si>
    <t>42</t>
  </si>
  <si>
    <t>Длина дистанции 12,2 км</t>
  </si>
  <si>
    <t>Начальники дистанции: Сычев В., Худеньких Ю.</t>
  </si>
  <si>
    <t>Кивленикс Андрис</t>
  </si>
  <si>
    <t>Линг Инно</t>
  </si>
  <si>
    <t>Лейбомс Айгорс</t>
  </si>
  <si>
    <t>Эстонская ССР (л)</t>
  </si>
  <si>
    <t>Анучкин Олег</t>
  </si>
  <si>
    <t>Савкин Алексей</t>
  </si>
  <si>
    <t>Ражайтес Андрюс</t>
  </si>
  <si>
    <t>Рожнов Андрей</t>
  </si>
  <si>
    <t>Литовская ССР (л)</t>
  </si>
  <si>
    <t>РСФСР (л)</t>
  </si>
  <si>
    <t>снят по п.п. 2.3.3</t>
  </si>
  <si>
    <t>Ранг соревнований 1000 баллов</t>
  </si>
  <si>
    <t>МС - 1-20 место</t>
  </si>
  <si>
    <t>КМС - 126%, 1:47:05</t>
  </si>
  <si>
    <t>130</t>
  </si>
  <si>
    <t>139</t>
  </si>
  <si>
    <t>136</t>
  </si>
  <si>
    <t>135</t>
  </si>
  <si>
    <t>137</t>
  </si>
  <si>
    <t>141</t>
  </si>
  <si>
    <t>128</t>
  </si>
  <si>
    <t>127</t>
  </si>
  <si>
    <t>142</t>
  </si>
  <si>
    <t>133</t>
  </si>
  <si>
    <t>124</t>
  </si>
  <si>
    <t>134</t>
  </si>
  <si>
    <t>138</t>
  </si>
  <si>
    <t>131</t>
  </si>
  <si>
    <t>сошла</t>
  </si>
  <si>
    <t>125</t>
  </si>
  <si>
    <t>Длина дистанции 4,6 км</t>
  </si>
  <si>
    <t>Число КП 10</t>
  </si>
  <si>
    <t>Контрольное время 2 часа 40 минут</t>
  </si>
  <si>
    <t>Начальники дистанции: Зайцев А.С., Зальцман В.</t>
  </si>
  <si>
    <t>Галант Мария</t>
  </si>
  <si>
    <t>Луценко Алена</t>
  </si>
  <si>
    <t>Рамазанова Ольга</t>
  </si>
  <si>
    <t>Голованева Ольга</t>
  </si>
  <si>
    <t>Трофимайте Раса</t>
  </si>
  <si>
    <t>Аспанадзе Лали</t>
  </si>
  <si>
    <t>Головятенко Карина</t>
  </si>
  <si>
    <t>-</t>
  </si>
  <si>
    <t>0 41:46</t>
  </si>
  <si>
    <t>0 59:57</t>
  </si>
  <si>
    <t>Азебайджанская ССР</t>
  </si>
  <si>
    <t>Ранг соревнований 370 баллов</t>
  </si>
  <si>
    <t>КМС - 111%, 0:41:53</t>
  </si>
  <si>
    <t>Длина дистанции 8,4 км</t>
  </si>
  <si>
    <t>Число КП 11</t>
  </si>
  <si>
    <t>Начальники дистанции: Худеньких Ю.В., Сычев В.А.</t>
  </si>
  <si>
    <t>Ситник Алексей</t>
  </si>
  <si>
    <t>Вальцман Алексей</t>
  </si>
  <si>
    <t>Резниченко Андрей</t>
  </si>
  <si>
    <t>Ковелев Леонид</t>
  </si>
  <si>
    <t>Новиков Андрей</t>
  </si>
  <si>
    <t>Нестеренко Георгий</t>
  </si>
  <si>
    <t>снят по п.п. 4.6.4</t>
  </si>
  <si>
    <t>Латвийская ССР (л)</t>
  </si>
  <si>
    <t>Казахская ССР (л)</t>
  </si>
  <si>
    <t>КМС - 111%, 1:02:09</t>
  </si>
  <si>
    <t>СВОДНЫЙ ПРОТОКОЛ</t>
  </si>
  <si>
    <t>результатов соревнований</t>
  </si>
  <si>
    <t>6-11 сентября 1986 года</t>
  </si>
  <si>
    <t>Заданное направление</t>
  </si>
  <si>
    <t>М</t>
  </si>
  <si>
    <t>Ж</t>
  </si>
  <si>
    <t>Эстафета</t>
  </si>
  <si>
    <t>Сумма очков</t>
  </si>
  <si>
    <t>Группа А</t>
  </si>
  <si>
    <t>Группа Б</t>
  </si>
  <si>
    <r>
      <rPr>
        <b/>
        <sz val="10"/>
        <rFont val="Arial"/>
        <family val="2"/>
        <charset val="204"/>
      </rPr>
      <t>Главный секретарь —</t>
    </r>
  </si>
  <si>
    <r>
      <rPr>
        <b/>
        <sz val="10"/>
        <rFont val="Arial"/>
        <family val="2"/>
        <charset val="204"/>
      </rPr>
      <t>судья всесоюзной категории</t>
    </r>
  </si>
  <si>
    <r>
      <rPr>
        <b/>
        <sz val="10"/>
        <rFont val="Arial"/>
        <family val="2"/>
        <charset val="204"/>
      </rPr>
      <t>Главный судья —</t>
    </r>
  </si>
  <si>
    <r>
      <rPr>
        <b/>
        <sz val="10"/>
        <rFont val="Arial"/>
        <family val="2"/>
        <charset val="204"/>
      </rPr>
      <t>судья всесок^ной категории</t>
    </r>
  </si>
  <si>
    <r>
      <rPr>
        <b/>
        <sz val="10"/>
        <rFont val="Arial"/>
        <family val="2"/>
        <charset val="204"/>
      </rPr>
      <t>Е. ГРАНОВСКИЙ</t>
    </r>
  </si>
  <si>
    <t>КОМАНДНЫЙ ПРОТОКОЛ</t>
  </si>
  <si>
    <t>Караганд. ППО «Офсет». 3. 6203—100</t>
  </si>
  <si>
    <r>
      <rPr>
        <b/>
        <sz val="10"/>
        <rFont val="Arial"/>
        <family val="2"/>
        <charset val="204"/>
      </rPr>
      <t xml:space="preserve">■ ’      ^’ </t>
    </r>
    <r>
      <rPr>
        <b/>
        <vertAlign val="superscript"/>
        <sz val="10"/>
        <rFont val="Arial"/>
        <family val="2"/>
        <charset val="204"/>
      </rPr>
      <t>1,1</t>
    </r>
  </si>
  <si>
    <t>результатов соревнований в заданном направлении</t>
  </si>
  <si>
    <t>69</t>
  </si>
  <si>
    <t>66</t>
  </si>
  <si>
    <t>67</t>
  </si>
  <si>
    <t>79</t>
  </si>
  <si>
    <t>74</t>
  </si>
  <si>
    <t>51</t>
  </si>
  <si>
    <t>64</t>
  </si>
  <si>
    <t>55</t>
  </si>
  <si>
    <t>50</t>
  </si>
  <si>
    <t>56</t>
  </si>
  <si>
    <t>71</t>
  </si>
  <si>
    <t>62</t>
  </si>
  <si>
    <t>72</t>
  </si>
  <si>
    <t>52</t>
  </si>
  <si>
    <t>54</t>
  </si>
  <si>
    <t>60</t>
  </si>
  <si>
    <t>53</t>
  </si>
  <si>
    <t>Моргунова Алла</t>
  </si>
  <si>
    <t>47</t>
  </si>
  <si>
    <t>58</t>
  </si>
  <si>
    <t>80</t>
  </si>
  <si>
    <t>70</t>
  </si>
  <si>
    <t>76</t>
  </si>
  <si>
    <t>Длина дистанции 6,5 км</t>
  </si>
  <si>
    <t>Начальники дистанции: Зайцев А., Зальцман В.</t>
  </si>
  <si>
    <t>Владимирова Ирина</t>
  </si>
  <si>
    <t>Мальгина Надежда</t>
  </si>
  <si>
    <t>Габране Сармине</t>
  </si>
  <si>
    <t>Иохансон Рийю</t>
  </si>
  <si>
    <t>Медведева Ирина</t>
  </si>
  <si>
    <t>Кондрашева Татьяна</t>
  </si>
  <si>
    <t>Багочюнене Иоланта</t>
  </si>
  <si>
    <t>Блинова Ольга .</t>
  </si>
  <si>
    <t>Тимма Даце</t>
  </si>
  <si>
    <t>Керем Моэме</t>
  </si>
  <si>
    <t>Кокоревича Ренате</t>
  </si>
  <si>
    <t>Степанова Ирина</t>
  </si>
  <si>
    <t>Куткене Виолета</t>
  </si>
  <si>
    <t>КМС - 126%, 1:05:39</t>
  </si>
  <si>
    <t>Длина дистанции 7,4 км</t>
  </si>
  <si>
    <t>Число КП 13</t>
  </si>
  <si>
    <t>59</t>
  </si>
  <si>
    <r>
      <rPr>
        <b/>
        <sz val="10"/>
        <rFont val="Arial"/>
        <family val="2"/>
        <charset val="204"/>
      </rPr>
      <t>*</t>
    </r>
  </si>
  <si>
    <t>Начальники дистанции: Афанасьев Л.Г.</t>
  </si>
  <si>
    <t>Группа Ж21</t>
  </si>
  <si>
    <t>Тимма Лапе</t>
  </si>
  <si>
    <t>РСФРС</t>
  </si>
  <si>
    <t>МС - 1-20 места</t>
  </si>
  <si>
    <t>КМС - 126%, 1:32:01</t>
  </si>
  <si>
    <t>ГРАФИКИ ПРОХОЖДЕНИЯ ДИСТАНЦИИ Ж21</t>
  </si>
  <si>
    <t>Личный чемпионат</t>
  </si>
  <si>
    <t>2-3</t>
  </si>
  <si>
    <t>3-5</t>
  </si>
  <si>
    <t>11-13</t>
  </si>
  <si>
    <t>13-Ф</t>
  </si>
  <si>
    <t>2170</t>
  </si>
  <si>
    <t>2510</t>
  </si>
  <si>
    <t>1040</t>
  </si>
  <si>
    <t>300</t>
  </si>
  <si>
    <t>Фамилия, имя</t>
  </si>
  <si>
    <t>Отрезок, длина (м), время (мин:сек)</t>
  </si>
  <si>
    <t>С-2</t>
  </si>
  <si>
    <t>5-11</t>
  </si>
  <si>
    <t>Результат (ч:мин:сек)</t>
  </si>
  <si>
    <t xml:space="preserve"> 2:52</t>
  </si>
  <si>
    <t xml:space="preserve"> 9:45</t>
  </si>
  <si>
    <t xml:space="preserve"> 11:15</t>
  </si>
  <si>
    <t>24:10</t>
  </si>
  <si>
    <t>12:40</t>
  </si>
  <si>
    <t>4:20</t>
  </si>
  <si>
    <t>21:00</t>
  </si>
  <si>
    <t>9:50</t>
  </si>
  <si>
    <t>1:01</t>
  </si>
  <si>
    <t>13:00</t>
  </si>
  <si>
    <t>1:03</t>
  </si>
  <si>
    <t>16:30</t>
  </si>
  <si>
    <t>2:30</t>
  </si>
  <si>
    <t>21:58</t>
  </si>
  <si>
    <t>0:56</t>
  </si>
  <si>
    <t>1:04</t>
  </si>
  <si>
    <t>21:54</t>
  </si>
  <si>
    <t>8:58</t>
  </si>
  <si>
    <t>1:05</t>
  </si>
  <si>
    <t>13:25</t>
  </si>
  <si>
    <t>21:45</t>
  </si>
  <si>
    <t>7:55</t>
  </si>
  <si>
    <t>3:24</t>
  </si>
  <si>
    <t>7:15</t>
  </si>
  <si>
    <t>0:49</t>
  </si>
  <si>
    <t>13:10</t>
  </si>
  <si>
    <t>22:44</t>
  </si>
  <si>
    <t>7:58</t>
  </si>
  <si>
    <t>18:05</t>
  </si>
  <si>
    <t>2:53</t>
  </si>
  <si>
    <t>22:02</t>
  </si>
  <si>
    <t>9:11</t>
  </si>
  <si>
    <t>14:50</t>
  </si>
  <si>
    <t>4:04</t>
  </si>
  <si>
    <t>22:15</t>
  </si>
  <si>
    <t>8:03</t>
  </si>
  <si>
    <t>0:54</t>
  </si>
  <si>
    <t>12:00</t>
  </si>
  <si>
    <t>19:53</t>
  </si>
  <si>
    <t>12:15</t>
  </si>
  <si>
    <t>7:45</t>
  </si>
  <si>
    <t>21:53</t>
  </si>
  <si>
    <t>9:43</t>
  </si>
  <si>
    <t>17:55</t>
  </si>
  <si>
    <t>4:22</t>
  </si>
  <si>
    <t>22:00</t>
  </si>
  <si>
    <t>9:23</t>
  </si>
  <si>
    <t>15:20</t>
  </si>
  <si>
    <t>7:50</t>
  </si>
  <si>
    <t>0:48</t>
  </si>
  <si>
    <t>15:40</t>
  </si>
  <si>
    <t>2:23</t>
  </si>
  <si>
    <t>10:00</t>
  </si>
  <si>
    <t>2:50</t>
  </si>
  <si>
    <t>23:00</t>
  </si>
  <si>
    <t>15:28</t>
  </si>
  <si>
    <t>3:48</t>
  </si>
  <si>
    <t>7:33</t>
  </si>
  <si>
    <t>3:53</t>
  </si>
  <si>
    <t>10:20</t>
  </si>
  <si>
    <t>15:55</t>
  </si>
  <si>
    <t>11:17</t>
  </si>
  <si>
    <t>13:20</t>
  </si>
  <si>
    <t>10:37</t>
  </si>
  <si>
    <t>23:30</t>
  </si>
  <si>
    <t>3:39</t>
  </si>
  <si>
    <t>23:53</t>
  </si>
  <si>
    <t>11:50</t>
  </si>
  <si>
    <t>23:10</t>
  </si>
  <si>
    <t>20:58</t>
  </si>
  <si>
    <t>1:02</t>
  </si>
  <si>
    <t>14:40</t>
  </si>
  <si>
    <t>18:55</t>
  </si>
  <si>
    <t>18:35</t>
  </si>
  <si>
    <t>4:44</t>
  </si>
  <si>
    <t>8:45</t>
  </si>
  <si>
    <t>16:15</t>
  </si>
  <si>
    <t>8:30</t>
  </si>
  <si>
    <t>3:07</t>
  </si>
  <si>
    <t>20:53</t>
  </si>
  <si>
    <t>29:30</t>
  </si>
  <si>
    <t>7:20</t>
  </si>
  <si>
    <t>24:00</t>
  </si>
  <si>
    <t>9:58</t>
  </si>
  <si>
    <t>13:05</t>
  </si>
  <si>
    <t>2:59</t>
  </si>
  <si>
    <t>24:56</t>
  </si>
  <si>
    <t>26:15</t>
  </si>
  <si>
    <t>14:55</t>
  </si>
  <si>
    <t>2:12</t>
  </si>
  <si>
    <t>30:15</t>
  </si>
  <si>
    <t>25:11</t>
  </si>
  <si>
    <t>29:35</t>
  </si>
  <si>
    <t>10:07</t>
  </si>
  <si>
    <t>27:00</t>
  </si>
  <si>
    <t>29:00</t>
  </si>
  <si>
    <t>0:58</t>
  </si>
  <si>
    <t>33:06</t>
  </si>
  <si>
    <t>7:09</t>
  </si>
  <si>
    <t>36:15</t>
  </si>
  <si>
    <t>2:54</t>
  </si>
  <si>
    <t>37:00</t>
  </si>
  <si>
    <t>Зам. главного судьи по дистанциям</t>
  </si>
  <si>
    <t>С.Б. Елаховский</t>
  </si>
  <si>
    <t>31:49</t>
  </si>
  <si>
    <t>11:05</t>
  </si>
  <si>
    <t>3:23</t>
  </si>
  <si>
    <t>26:12</t>
  </si>
  <si>
    <t>39:20</t>
  </si>
  <si>
    <t>27:53</t>
  </si>
  <si>
    <t>33:45</t>
  </si>
  <si>
    <t>37:30</t>
  </si>
  <si>
    <t>1:00</t>
  </si>
  <si>
    <t>29:12</t>
  </si>
  <si>
    <t>43:20</t>
  </si>
  <si>
    <t>40:51</t>
  </si>
  <si>
    <t>2:26</t>
  </si>
  <si>
    <t>25:47</t>
  </si>
  <si>
    <t>45:30</t>
  </si>
  <si>
    <t>4:59</t>
  </si>
  <si>
    <t>26:48</t>
  </si>
  <si>
    <t>47:00</t>
  </si>
  <si>
    <t>40:00</t>
  </si>
  <si>
    <t>43:15</t>
  </si>
  <si>
    <t>25:44</t>
  </si>
  <si>
    <t>35:35</t>
  </si>
  <si>
    <t>27:56</t>
  </si>
  <si>
    <t>44:20</t>
  </si>
  <si>
    <t>4:49</t>
  </si>
  <si>
    <t>33:48</t>
  </si>
  <si>
    <t>60:35</t>
  </si>
  <si>
    <t>3:04</t>
  </si>
  <si>
    <t>80:30</t>
  </si>
  <si>
    <t>сошла (КП3 взяла раньше КП2)</t>
  </si>
  <si>
    <t>М21</t>
  </si>
  <si>
    <t>Ж21</t>
  </si>
  <si>
    <t>3-4</t>
  </si>
  <si>
    <t>4-6</t>
  </si>
  <si>
    <t>6-8</t>
  </si>
  <si>
    <t>8-9</t>
  </si>
  <si>
    <t>10-12</t>
  </si>
  <si>
    <t>9-10</t>
  </si>
  <si>
    <t>12-16</t>
  </si>
  <si>
    <t>16-20</t>
  </si>
  <si>
    <t>20-Ф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</si>
</sst>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[$-F400]h:mm:ss\ AM/PM"/>
    <numFmt numFmtId="168" formatCode="mm:ss;@"/>
  </numFmts>
  <fonts count="4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vertAlign val="superscript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21" fontId="1" fillId="0" borderId="9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 vertical="center"/>
    </xf>
    <xf numFmtId="21" fontId="1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21" fontId="1" fillId="0" borderId="8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1" fontId="1" fillId="0" borderId="9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21" fontId="1" fillId="0" borderId="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/>
    <xf numFmtId="21" fontId="0" fillId="0" borderId="10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1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21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20" fontId="1" fillId="0" borderId="0" xfId="0" applyNumberFormat="1" applyFont="1"/>
    <xf numFmtId="46" fontId="1" fillId="0" borderId="0" xfId="0" applyNumberFormat="1" applyFont="1"/>
    <xf numFmtId="49" fontId="1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49" fontId="1" fillId="0" borderId="10" xfId="0" quotePrefix="1" applyNumberFormat="1" applyFont="1" applyBorder="1" applyAlignment="1">
      <alignment horizontal="center" vertical="center"/>
    </xf>
    <xf numFmtId="168" fontId="1" fillId="0" borderId="10" xfId="0" applyNumberFormat="1" applyFont="1" applyBorder="1" applyAlignment="1">
      <alignment horizontal="center" vertical="center"/>
    </xf>
    <xf numFmtId="168" fontId="1" fillId="0" borderId="10" xfId="0" quotePrefix="1" applyNumberFormat="1" applyFont="1" applyBorder="1" applyAlignment="1">
      <alignment horizontal="center" vertical="center"/>
    </xf>
    <xf numFmtId="168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opLeftCell="A49" zoomScale="90" zoomScaleNormal="90" workbookViewId="0">
      <selection activeCell="B67" sqref="B67:C72"/>
    </sheetView>
  </sheetViews>
  <sheetFormatPr defaultRowHeight="13.2" x14ac:dyDescent="0.25"/>
  <cols>
    <col min="1" max="1" width="8.44140625" style="1" customWidth="1"/>
    <col min="2" max="2" width="24.44140625" style="1" customWidth="1"/>
    <col min="3" max="3" width="21.88671875" style="1" customWidth="1"/>
    <col min="4" max="4" width="11.44140625" style="2" customWidth="1"/>
    <col min="5" max="5" width="14.77734375" style="2" customWidth="1"/>
    <col min="6" max="7" width="13.77734375" style="2" customWidth="1"/>
    <col min="8" max="8" width="7.88671875" style="2" customWidth="1"/>
    <col min="9" max="9" width="8.33203125" style="2" customWidth="1"/>
    <col min="10" max="10" width="15.33203125" style="2"/>
    <col min="11" max="16384" width="8.8867187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1" x14ac:dyDescent="0.25">
      <c r="A4" s="1" t="s">
        <v>21</v>
      </c>
    </row>
    <row r="5" spans="1:1" x14ac:dyDescent="0.25">
      <c r="A5" s="1" t="s">
        <v>22</v>
      </c>
    </row>
    <row r="7" spans="1:1" x14ac:dyDescent="0.25">
      <c r="A7" s="1" t="s">
        <v>2</v>
      </c>
    </row>
    <row r="8" spans="1:1" x14ac:dyDescent="0.25">
      <c r="A8" s="1" t="s">
        <v>3</v>
      </c>
    </row>
    <row r="10" spans="1:1" x14ac:dyDescent="0.25">
      <c r="A10" s="1" t="s">
        <v>23</v>
      </c>
    </row>
    <row r="11" spans="1:1" x14ac:dyDescent="0.25">
      <c r="A11" s="1" t="s">
        <v>24</v>
      </c>
    </row>
    <row r="12" spans="1:1" x14ac:dyDescent="0.25">
      <c r="A12" s="1" t="s">
        <v>25</v>
      </c>
    </row>
    <row r="14" spans="1:1" x14ac:dyDescent="0.25">
      <c r="A14" s="1" t="s">
        <v>26</v>
      </c>
    </row>
    <row r="15" spans="1:1" x14ac:dyDescent="0.25">
      <c r="A15" s="1" t="s">
        <v>27</v>
      </c>
    </row>
    <row r="17" spans="1:10" x14ac:dyDescent="0.25">
      <c r="A17" s="1" t="s">
        <v>28</v>
      </c>
    </row>
    <row r="19" spans="1:10" ht="13.8" thickBot="1" x14ac:dyDescent="0.3"/>
    <row r="20" spans="1:10" ht="26.4" x14ac:dyDescent="0.25">
      <c r="A20" s="3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 t="s">
        <v>35</v>
      </c>
      <c r="H20" s="4" t="s">
        <v>36</v>
      </c>
      <c r="I20" s="4" t="s">
        <v>37</v>
      </c>
      <c r="J20" s="5" t="s">
        <v>38</v>
      </c>
    </row>
    <row r="21" spans="1:10" x14ac:dyDescent="0.25">
      <c r="A21" s="6">
        <v>1</v>
      </c>
      <c r="B21" s="7" t="s">
        <v>39</v>
      </c>
      <c r="C21" s="7" t="s">
        <v>40</v>
      </c>
      <c r="D21" s="8">
        <v>62</v>
      </c>
      <c r="E21" s="8" t="s">
        <v>44</v>
      </c>
      <c r="F21" s="9">
        <v>3.2233796296296295E-2</v>
      </c>
      <c r="G21" s="9">
        <f>F21</f>
        <v>3.2233796296296295E-2</v>
      </c>
      <c r="H21" s="8"/>
      <c r="I21" s="8"/>
      <c r="J21" s="10" t="s">
        <v>44</v>
      </c>
    </row>
    <row r="22" spans="1:10" x14ac:dyDescent="0.25">
      <c r="A22" s="6"/>
      <c r="B22" s="7"/>
      <c r="C22" s="7" t="s">
        <v>41</v>
      </c>
      <c r="D22" s="8">
        <v>72</v>
      </c>
      <c r="E22" s="8" t="s">
        <v>44</v>
      </c>
      <c r="F22" s="9">
        <v>3.2314814814814817E-2</v>
      </c>
      <c r="G22" s="9">
        <f>G21+F22</f>
        <v>6.4548611111111112E-2</v>
      </c>
      <c r="H22" s="8"/>
      <c r="I22" s="8"/>
      <c r="J22" s="10" t="s">
        <v>44</v>
      </c>
    </row>
    <row r="23" spans="1:10" x14ac:dyDescent="0.25">
      <c r="A23" s="6"/>
      <c r="B23" s="7"/>
      <c r="C23" s="7" t="s">
        <v>42</v>
      </c>
      <c r="D23" s="8">
        <v>82</v>
      </c>
      <c r="E23" s="8" t="s">
        <v>44</v>
      </c>
      <c r="F23" s="9">
        <v>2.6875E-2</v>
      </c>
      <c r="G23" s="9">
        <f>G22+F23</f>
        <v>9.1423611111111108E-2</v>
      </c>
      <c r="H23" s="8"/>
      <c r="I23" s="8"/>
      <c r="J23" s="10" t="s">
        <v>44</v>
      </c>
    </row>
    <row r="24" spans="1:10" x14ac:dyDescent="0.25">
      <c r="A24" s="6"/>
      <c r="B24" s="7"/>
      <c r="C24" s="7" t="s">
        <v>43</v>
      </c>
      <c r="D24" s="8">
        <v>92</v>
      </c>
      <c r="E24" s="8" t="s">
        <v>44</v>
      </c>
      <c r="F24" s="9">
        <v>2.8483796296296295E-2</v>
      </c>
      <c r="G24" s="9">
        <f>G23+F24</f>
        <v>0.11990740740740741</v>
      </c>
      <c r="H24" s="8">
        <v>1</v>
      </c>
      <c r="I24" s="8">
        <v>1</v>
      </c>
      <c r="J24" s="10" t="s">
        <v>44</v>
      </c>
    </row>
    <row r="25" spans="1:10" x14ac:dyDescent="0.25">
      <c r="A25" s="6"/>
      <c r="B25" s="7"/>
      <c r="C25" s="7"/>
      <c r="D25" s="8"/>
      <c r="E25" s="8"/>
      <c r="F25" s="8"/>
      <c r="G25" s="8"/>
      <c r="H25" s="8"/>
      <c r="I25" s="8"/>
      <c r="J25" s="10"/>
    </row>
    <row r="26" spans="1:10" x14ac:dyDescent="0.25">
      <c r="A26" s="6">
        <v>2</v>
      </c>
      <c r="B26" s="7" t="s">
        <v>46</v>
      </c>
      <c r="C26" s="7" t="s">
        <v>50</v>
      </c>
      <c r="D26" s="8" t="s">
        <v>4</v>
      </c>
      <c r="E26" s="8" t="s">
        <v>44</v>
      </c>
      <c r="F26" s="9">
        <v>4.0902777777777781E-2</v>
      </c>
      <c r="G26" s="9">
        <f t="shared" ref="G26" si="0">F26</f>
        <v>4.0902777777777781E-2</v>
      </c>
      <c r="H26" s="8"/>
      <c r="I26" s="8"/>
      <c r="J26" s="10" t="s">
        <v>44</v>
      </c>
    </row>
    <row r="27" spans="1:10" x14ac:dyDescent="0.25">
      <c r="A27" s="6"/>
      <c r="B27" s="7"/>
      <c r="C27" s="7" t="s">
        <v>51</v>
      </c>
      <c r="D27" s="8" t="s">
        <v>5</v>
      </c>
      <c r="E27" s="8" t="s">
        <v>44</v>
      </c>
      <c r="F27" s="9">
        <v>3.8460648148148147E-2</v>
      </c>
      <c r="G27" s="9">
        <f t="shared" ref="G27:G29" si="1">G26+F27</f>
        <v>7.9363425925925934E-2</v>
      </c>
      <c r="H27" s="8"/>
      <c r="I27" s="8"/>
      <c r="J27" s="10" t="s">
        <v>44</v>
      </c>
    </row>
    <row r="28" spans="1:10" x14ac:dyDescent="0.25">
      <c r="A28" s="6"/>
      <c r="B28" s="7"/>
      <c r="C28" s="7" t="s">
        <v>52</v>
      </c>
      <c r="D28" s="8" t="s">
        <v>6</v>
      </c>
      <c r="E28" s="8" t="s">
        <v>44</v>
      </c>
      <c r="F28" s="9">
        <v>2.7685185185185188E-2</v>
      </c>
      <c r="G28" s="9">
        <f t="shared" si="1"/>
        <v>0.10704861111111112</v>
      </c>
      <c r="H28" s="8"/>
      <c r="I28" s="8"/>
      <c r="J28" s="10" t="s">
        <v>44</v>
      </c>
    </row>
    <row r="29" spans="1:10" x14ac:dyDescent="0.25">
      <c r="A29" s="6"/>
      <c r="B29" s="7"/>
      <c r="C29" s="7" t="s">
        <v>53</v>
      </c>
      <c r="D29" s="8" t="s">
        <v>7</v>
      </c>
      <c r="E29" s="8" t="s">
        <v>44</v>
      </c>
      <c r="F29" s="9">
        <v>2.8946759259259255E-2</v>
      </c>
      <c r="G29" s="9">
        <f t="shared" si="1"/>
        <v>0.13599537037037038</v>
      </c>
      <c r="H29" s="8">
        <v>2</v>
      </c>
      <c r="I29" s="8">
        <v>2</v>
      </c>
      <c r="J29" s="10" t="s">
        <v>44</v>
      </c>
    </row>
    <row r="30" spans="1:10" x14ac:dyDescent="0.25">
      <c r="A30" s="6"/>
      <c r="B30" s="7"/>
      <c r="C30" s="7"/>
      <c r="D30" s="7"/>
      <c r="E30" s="8"/>
      <c r="F30" s="7"/>
      <c r="G30" s="8"/>
      <c r="H30" s="8"/>
      <c r="I30" s="8"/>
      <c r="J30" s="10"/>
    </row>
    <row r="31" spans="1:10" x14ac:dyDescent="0.25">
      <c r="A31" s="6">
        <v>3</v>
      </c>
      <c r="B31" s="7" t="s">
        <v>47</v>
      </c>
      <c r="C31" s="7" t="s">
        <v>54</v>
      </c>
      <c r="D31" s="8" t="s">
        <v>8</v>
      </c>
      <c r="E31" s="8" t="s">
        <v>44</v>
      </c>
      <c r="F31" s="9">
        <v>3.6851851851851851E-2</v>
      </c>
      <c r="G31" s="9">
        <f t="shared" ref="G31" si="2">F31</f>
        <v>3.6851851851851851E-2</v>
      </c>
      <c r="H31" s="8"/>
      <c r="I31" s="8"/>
      <c r="J31" s="10" t="s">
        <v>44</v>
      </c>
    </row>
    <row r="32" spans="1:10" x14ac:dyDescent="0.25">
      <c r="A32" s="6"/>
      <c r="B32" s="7"/>
      <c r="C32" s="7" t="s">
        <v>55</v>
      </c>
      <c r="D32" s="8" t="s">
        <v>9</v>
      </c>
      <c r="E32" s="8" t="s">
        <v>44</v>
      </c>
      <c r="F32" s="9">
        <v>3.0717592592592591E-2</v>
      </c>
      <c r="G32" s="9">
        <f t="shared" ref="G32:G34" si="3">G31+F32</f>
        <v>6.7569444444444446E-2</v>
      </c>
      <c r="H32" s="8"/>
      <c r="I32" s="8"/>
      <c r="J32" s="10" t="s">
        <v>44</v>
      </c>
    </row>
    <row r="33" spans="1:10" x14ac:dyDescent="0.25">
      <c r="A33" s="6"/>
      <c r="B33" s="7"/>
      <c r="C33" s="7" t="s">
        <v>56</v>
      </c>
      <c r="D33" s="8" t="s">
        <v>10</v>
      </c>
      <c r="E33" s="8" t="s">
        <v>44</v>
      </c>
      <c r="F33" s="9">
        <v>3.6076388888888887E-2</v>
      </c>
      <c r="G33" s="9">
        <f t="shared" si="3"/>
        <v>0.10364583333333333</v>
      </c>
      <c r="H33" s="8"/>
      <c r="I33" s="8"/>
      <c r="J33" s="10" t="s">
        <v>44</v>
      </c>
    </row>
    <row r="34" spans="1:10" x14ac:dyDescent="0.25">
      <c r="A34" s="6"/>
      <c r="B34" s="7"/>
      <c r="C34" s="7" t="s">
        <v>11</v>
      </c>
      <c r="D34" s="8" t="s">
        <v>12</v>
      </c>
      <c r="E34" s="8" t="s">
        <v>44</v>
      </c>
      <c r="F34" s="9">
        <v>3.3055555555555553E-2</v>
      </c>
      <c r="G34" s="9">
        <f t="shared" si="3"/>
        <v>0.13670138888888889</v>
      </c>
      <c r="H34" s="8">
        <v>3</v>
      </c>
      <c r="I34" s="8">
        <v>3</v>
      </c>
      <c r="J34" s="10" t="s">
        <v>44</v>
      </c>
    </row>
    <row r="35" spans="1:10" x14ac:dyDescent="0.25">
      <c r="A35" s="6"/>
      <c r="B35" s="7"/>
      <c r="C35" s="7"/>
      <c r="D35" s="7"/>
      <c r="E35" s="8"/>
      <c r="F35" s="7"/>
      <c r="G35" s="8"/>
      <c r="H35" s="8"/>
      <c r="I35" s="8"/>
      <c r="J35" s="10"/>
    </row>
    <row r="36" spans="1:10" x14ac:dyDescent="0.25">
      <c r="A36" s="6">
        <v>4</v>
      </c>
      <c r="B36" s="7" t="s">
        <v>48</v>
      </c>
      <c r="C36" s="7" t="s">
        <v>57</v>
      </c>
      <c r="D36" s="8" t="s">
        <v>14</v>
      </c>
      <c r="E36" s="8" t="s">
        <v>45</v>
      </c>
      <c r="F36" s="9">
        <v>3.8009259259259263E-2</v>
      </c>
      <c r="G36" s="9">
        <f t="shared" ref="G36" si="4">F36</f>
        <v>3.8009259259259263E-2</v>
      </c>
      <c r="H36" s="8"/>
      <c r="I36" s="8"/>
      <c r="J36" s="10"/>
    </row>
    <row r="37" spans="1:10" x14ac:dyDescent="0.25">
      <c r="A37" s="6"/>
      <c r="B37" s="7"/>
      <c r="C37" s="7" t="s">
        <v>15</v>
      </c>
      <c r="D37" s="8" t="s">
        <v>16</v>
      </c>
      <c r="E37" s="8" t="s">
        <v>44</v>
      </c>
      <c r="F37" s="9">
        <v>4.1331018518518517E-2</v>
      </c>
      <c r="G37" s="9">
        <f t="shared" ref="G37:G39" si="5">G36+F37</f>
        <v>7.9340277777777773E-2</v>
      </c>
      <c r="H37" s="8"/>
      <c r="I37" s="8"/>
      <c r="J37" s="10"/>
    </row>
    <row r="38" spans="1:10" x14ac:dyDescent="0.25">
      <c r="A38" s="6"/>
      <c r="B38" s="7"/>
      <c r="C38" s="7" t="s">
        <v>58</v>
      </c>
      <c r="D38" s="8" t="s">
        <v>17</v>
      </c>
      <c r="E38" s="8" t="s">
        <v>44</v>
      </c>
      <c r="F38" s="9">
        <v>2.9513888888888892E-2</v>
      </c>
      <c r="G38" s="9">
        <f t="shared" si="5"/>
        <v>0.10885416666666667</v>
      </c>
      <c r="H38" s="8"/>
      <c r="I38" s="8"/>
      <c r="J38" s="10"/>
    </row>
    <row r="39" spans="1:10" x14ac:dyDescent="0.25">
      <c r="A39" s="6"/>
      <c r="B39" s="7"/>
      <c r="C39" s="7" t="s">
        <v>18</v>
      </c>
      <c r="D39" s="8" t="s">
        <v>19</v>
      </c>
      <c r="E39" s="8" t="s">
        <v>44</v>
      </c>
      <c r="F39" s="9">
        <v>2.7916666666666669E-2</v>
      </c>
      <c r="G39" s="9">
        <f t="shared" si="5"/>
        <v>0.13677083333333334</v>
      </c>
      <c r="H39" s="8">
        <v>4</v>
      </c>
      <c r="I39" s="8">
        <v>4</v>
      </c>
      <c r="J39" s="10"/>
    </row>
    <row r="40" spans="1:10" x14ac:dyDescent="0.25">
      <c r="A40" s="6"/>
      <c r="B40" s="7"/>
      <c r="C40" s="7"/>
      <c r="D40" s="7"/>
      <c r="E40" s="8"/>
      <c r="F40" s="7"/>
      <c r="G40" s="8"/>
      <c r="H40" s="8"/>
      <c r="I40" s="8"/>
      <c r="J40" s="10"/>
    </row>
    <row r="41" spans="1:10" x14ac:dyDescent="0.25">
      <c r="A41" s="6">
        <v>5</v>
      </c>
      <c r="B41" s="7" t="s">
        <v>49</v>
      </c>
      <c r="C41" s="7" t="s">
        <v>59</v>
      </c>
      <c r="D41" s="8">
        <v>61</v>
      </c>
      <c r="E41" s="8" t="s">
        <v>44</v>
      </c>
      <c r="F41" s="9">
        <v>2.9074074074074075E-2</v>
      </c>
      <c r="G41" s="9">
        <f t="shared" ref="G41" si="6">F41</f>
        <v>2.9074074074074075E-2</v>
      </c>
      <c r="H41" s="8"/>
      <c r="I41" s="8"/>
      <c r="J41" s="10"/>
    </row>
    <row r="42" spans="1:10" x14ac:dyDescent="0.25">
      <c r="A42" s="6"/>
      <c r="B42" s="7"/>
      <c r="C42" s="7" t="s">
        <v>60</v>
      </c>
      <c r="D42" s="8">
        <v>71</v>
      </c>
      <c r="E42" s="8" t="s">
        <v>44</v>
      </c>
      <c r="F42" s="9">
        <v>4.1064814814814811E-2</v>
      </c>
      <c r="G42" s="9">
        <f t="shared" ref="G42:G44" si="7">G41+F42</f>
        <v>7.013888888888889E-2</v>
      </c>
      <c r="H42" s="8"/>
      <c r="I42" s="8"/>
      <c r="J42" s="10"/>
    </row>
    <row r="43" spans="1:10" x14ac:dyDescent="0.25">
      <c r="A43" s="6"/>
      <c r="B43" s="7"/>
      <c r="C43" s="7" t="s">
        <v>61</v>
      </c>
      <c r="D43" s="8">
        <v>81</v>
      </c>
      <c r="E43" s="8" t="s">
        <v>44</v>
      </c>
      <c r="F43" s="9">
        <v>4.1238425925925921E-2</v>
      </c>
      <c r="G43" s="9">
        <f t="shared" si="7"/>
        <v>0.1113773148148148</v>
      </c>
      <c r="H43" s="8"/>
      <c r="I43" s="8"/>
      <c r="J43" s="10"/>
    </row>
    <row r="44" spans="1:10" x14ac:dyDescent="0.25">
      <c r="A44" s="6"/>
      <c r="B44" s="7"/>
      <c r="C44" s="7" t="s">
        <v>62</v>
      </c>
      <c r="D44" s="8">
        <v>91</v>
      </c>
      <c r="E44" s="8" t="s">
        <v>44</v>
      </c>
      <c r="F44" s="9">
        <v>3.453703703703704E-2</v>
      </c>
      <c r="G44" s="9">
        <f t="shared" si="7"/>
        <v>0.14591435185185184</v>
      </c>
      <c r="H44" s="8">
        <v>5</v>
      </c>
      <c r="I44" s="8">
        <v>5</v>
      </c>
      <c r="J44" s="10"/>
    </row>
    <row r="45" spans="1:10" x14ac:dyDescent="0.25">
      <c r="A45" s="6"/>
      <c r="B45" s="7"/>
      <c r="C45" s="7"/>
      <c r="D45" s="8"/>
      <c r="E45" s="8"/>
      <c r="F45" s="8"/>
      <c r="G45" s="8"/>
      <c r="H45" s="8"/>
      <c r="I45" s="8"/>
      <c r="J45" s="10"/>
    </row>
    <row r="46" spans="1:10" x14ac:dyDescent="0.25">
      <c r="A46" s="6">
        <v>6</v>
      </c>
      <c r="B46" s="7" t="s">
        <v>69</v>
      </c>
      <c r="C46" s="7" t="s">
        <v>65</v>
      </c>
      <c r="D46" s="8">
        <v>67</v>
      </c>
      <c r="E46" s="8" t="s">
        <v>44</v>
      </c>
      <c r="F46" s="9">
        <v>2.8240740740740736E-2</v>
      </c>
      <c r="G46" s="9">
        <f t="shared" ref="G46" si="8">F46</f>
        <v>2.8240740740740736E-2</v>
      </c>
      <c r="H46" s="8"/>
      <c r="I46" s="8"/>
      <c r="J46" s="10"/>
    </row>
    <row r="47" spans="1:10" x14ac:dyDescent="0.25">
      <c r="A47" s="6"/>
      <c r="B47" s="7"/>
      <c r="C47" s="7" t="s">
        <v>66</v>
      </c>
      <c r="D47" s="8">
        <v>77</v>
      </c>
      <c r="E47" s="8" t="s">
        <v>44</v>
      </c>
      <c r="F47" s="9">
        <v>5.1377314814814813E-2</v>
      </c>
      <c r="G47" s="9">
        <f t="shared" ref="G47:G49" si="9">G46+F47</f>
        <v>7.9618055555555553E-2</v>
      </c>
      <c r="H47" s="8"/>
      <c r="I47" s="8"/>
      <c r="J47" s="10"/>
    </row>
    <row r="48" spans="1:10" x14ac:dyDescent="0.25">
      <c r="A48" s="6"/>
      <c r="B48" s="7"/>
      <c r="C48" s="7" t="s">
        <v>67</v>
      </c>
      <c r="D48" s="8">
        <v>87</v>
      </c>
      <c r="E48" s="8" t="s">
        <v>44</v>
      </c>
      <c r="F48" s="9">
        <v>3.3437500000000002E-2</v>
      </c>
      <c r="G48" s="9">
        <f t="shared" si="9"/>
        <v>0.11305555555555555</v>
      </c>
      <c r="H48" s="8"/>
      <c r="I48" s="8"/>
      <c r="J48" s="10"/>
    </row>
    <row r="49" spans="1:10" x14ac:dyDescent="0.25">
      <c r="A49" s="6"/>
      <c r="B49" s="7"/>
      <c r="C49" s="7" t="s">
        <v>68</v>
      </c>
      <c r="D49" s="8">
        <v>97</v>
      </c>
      <c r="E49" s="8" t="s">
        <v>44</v>
      </c>
      <c r="F49" s="9">
        <v>3.2997685185185185E-2</v>
      </c>
      <c r="G49" s="9">
        <f t="shared" si="9"/>
        <v>0.14605324074074072</v>
      </c>
      <c r="H49" s="8">
        <v>6</v>
      </c>
      <c r="I49" s="8">
        <v>6</v>
      </c>
      <c r="J49" s="10"/>
    </row>
    <row r="50" spans="1:10" x14ac:dyDescent="0.25">
      <c r="A50" s="11"/>
      <c r="B50" s="7"/>
      <c r="C50" s="7"/>
      <c r="D50" s="8"/>
      <c r="E50" s="8"/>
      <c r="F50" s="8"/>
      <c r="G50" s="8"/>
      <c r="H50" s="8"/>
      <c r="I50" s="8"/>
      <c r="J50" s="10"/>
    </row>
    <row r="51" spans="1:10" x14ac:dyDescent="0.25">
      <c r="A51" s="6">
        <v>7</v>
      </c>
      <c r="B51" s="7" t="s">
        <v>70</v>
      </c>
      <c r="C51" s="7" t="s">
        <v>71</v>
      </c>
      <c r="D51" s="8">
        <v>64</v>
      </c>
      <c r="E51" s="8" t="s">
        <v>44</v>
      </c>
      <c r="F51" s="9">
        <v>2.8298611111111111E-2</v>
      </c>
      <c r="G51" s="9">
        <f t="shared" ref="G51" si="10">F51</f>
        <v>2.8298611111111111E-2</v>
      </c>
      <c r="H51" s="8"/>
      <c r="I51" s="8"/>
      <c r="J51" s="10"/>
    </row>
    <row r="52" spans="1:10" x14ac:dyDescent="0.25">
      <c r="A52" s="6"/>
      <c r="B52" s="7"/>
      <c r="C52" s="7" t="s">
        <v>72</v>
      </c>
      <c r="D52" s="8">
        <v>74</v>
      </c>
      <c r="E52" s="8" t="s">
        <v>44</v>
      </c>
      <c r="F52" s="9">
        <v>3.7499999999999999E-2</v>
      </c>
      <c r="G52" s="9">
        <f t="shared" ref="G52:G54" si="11">G51+F52</f>
        <v>6.5798611111111113E-2</v>
      </c>
      <c r="H52" s="8"/>
      <c r="I52" s="8"/>
      <c r="J52" s="10"/>
    </row>
    <row r="53" spans="1:10" x14ac:dyDescent="0.25">
      <c r="A53" s="6"/>
      <c r="B53" s="7"/>
      <c r="C53" s="7" t="s">
        <v>73</v>
      </c>
      <c r="D53" s="8">
        <v>84</v>
      </c>
      <c r="E53" s="8" t="s">
        <v>44</v>
      </c>
      <c r="F53" s="9">
        <v>4.8055555555555553E-2</v>
      </c>
      <c r="G53" s="9">
        <f t="shared" si="11"/>
        <v>0.11385416666666667</v>
      </c>
      <c r="H53" s="8"/>
      <c r="I53" s="8"/>
      <c r="J53" s="10"/>
    </row>
    <row r="54" spans="1:10" x14ac:dyDescent="0.25">
      <c r="A54" s="6"/>
      <c r="B54" s="7"/>
      <c r="C54" s="7" t="s">
        <v>74</v>
      </c>
      <c r="D54" s="8">
        <v>94</v>
      </c>
      <c r="E54" s="8" t="s">
        <v>44</v>
      </c>
      <c r="F54" s="9">
        <v>5.153935185185185E-2</v>
      </c>
      <c r="G54" s="9">
        <f t="shared" si="11"/>
        <v>0.16539351851851852</v>
      </c>
      <c r="H54" s="8">
        <v>7</v>
      </c>
      <c r="I54" s="8">
        <v>7</v>
      </c>
      <c r="J54" s="10"/>
    </row>
    <row r="55" spans="1:10" x14ac:dyDescent="0.25">
      <c r="A55" s="6"/>
      <c r="B55" s="7"/>
      <c r="C55" s="7"/>
      <c r="D55" s="8"/>
      <c r="E55" s="8"/>
      <c r="F55" s="8"/>
      <c r="G55" s="8"/>
      <c r="H55" s="8"/>
      <c r="I55" s="8"/>
      <c r="J55" s="10"/>
    </row>
    <row r="56" spans="1:10" x14ac:dyDescent="0.25">
      <c r="A56" s="6">
        <v>8</v>
      </c>
      <c r="B56" s="7" t="s">
        <v>75</v>
      </c>
      <c r="C56" s="7" t="s">
        <v>77</v>
      </c>
      <c r="D56" s="8">
        <v>66</v>
      </c>
      <c r="E56" s="8" t="s">
        <v>45</v>
      </c>
      <c r="F56" s="9">
        <v>3.7337962962962962E-2</v>
      </c>
      <c r="G56" s="9">
        <f t="shared" ref="G56:G61" si="12">F56</f>
        <v>3.7337962962962962E-2</v>
      </c>
      <c r="H56" s="8"/>
      <c r="I56" s="8"/>
      <c r="J56" s="10"/>
    </row>
    <row r="57" spans="1:10" x14ac:dyDescent="0.25">
      <c r="A57" s="6"/>
      <c r="B57" s="7"/>
      <c r="C57" s="7" t="s">
        <v>78</v>
      </c>
      <c r="D57" s="8">
        <v>76</v>
      </c>
      <c r="E57" s="8" t="s">
        <v>44</v>
      </c>
      <c r="F57" s="9">
        <v>5.6759259259259259E-2</v>
      </c>
      <c r="G57" s="9">
        <f t="shared" ref="G57:G64" si="13">G56+F57</f>
        <v>9.4097222222222221E-2</v>
      </c>
      <c r="H57" s="8"/>
      <c r="I57" s="8"/>
      <c r="J57" s="10"/>
    </row>
    <row r="58" spans="1:10" x14ac:dyDescent="0.25">
      <c r="A58" s="6"/>
      <c r="B58" s="7"/>
      <c r="C58" s="7" t="s">
        <v>79</v>
      </c>
      <c r="D58" s="8">
        <v>86</v>
      </c>
      <c r="E58" s="8" t="s">
        <v>44</v>
      </c>
      <c r="F58" s="9">
        <v>2.9490740740740744E-2</v>
      </c>
      <c r="G58" s="9">
        <f t="shared" si="13"/>
        <v>0.12358796296296297</v>
      </c>
      <c r="H58" s="8"/>
      <c r="I58" s="8"/>
      <c r="J58" s="10"/>
    </row>
    <row r="59" spans="1:10" x14ac:dyDescent="0.25">
      <c r="A59" s="6"/>
      <c r="B59" s="7"/>
      <c r="C59" s="7" t="s">
        <v>80</v>
      </c>
      <c r="D59" s="8">
        <v>96</v>
      </c>
      <c r="E59" s="8" t="s">
        <v>44</v>
      </c>
      <c r="F59" s="9">
        <v>5.5625000000000001E-2</v>
      </c>
      <c r="G59" s="9">
        <f t="shared" si="13"/>
        <v>0.17921296296296296</v>
      </c>
      <c r="H59" s="8">
        <v>8</v>
      </c>
      <c r="I59" s="8">
        <v>8</v>
      </c>
      <c r="J59" s="10"/>
    </row>
    <row r="60" spans="1:10" x14ac:dyDescent="0.25">
      <c r="A60" s="11"/>
      <c r="B60" s="7"/>
      <c r="C60" s="7"/>
      <c r="D60" s="8"/>
      <c r="E60" s="8"/>
      <c r="F60" s="8"/>
      <c r="G60" s="8"/>
      <c r="H60" s="8"/>
      <c r="I60" s="8"/>
      <c r="J60" s="10"/>
    </row>
    <row r="61" spans="1:10" x14ac:dyDescent="0.25">
      <c r="A61" s="6">
        <v>9</v>
      </c>
      <c r="B61" s="7" t="s">
        <v>76</v>
      </c>
      <c r="C61" s="7" t="s">
        <v>81</v>
      </c>
      <c r="D61" s="8">
        <v>69</v>
      </c>
      <c r="E61" s="8" t="s">
        <v>45</v>
      </c>
      <c r="F61" s="9">
        <v>4.3287037037037041E-2</v>
      </c>
      <c r="G61" s="9">
        <f t="shared" si="12"/>
        <v>4.3287037037037041E-2</v>
      </c>
      <c r="H61" s="8"/>
      <c r="I61" s="8"/>
      <c r="J61" s="10"/>
    </row>
    <row r="62" spans="1:10" x14ac:dyDescent="0.25">
      <c r="A62" s="11"/>
      <c r="B62" s="7"/>
      <c r="C62" s="7" t="s">
        <v>82</v>
      </c>
      <c r="D62" s="8">
        <v>79</v>
      </c>
      <c r="E62" s="8" t="s">
        <v>45</v>
      </c>
      <c r="F62" s="9">
        <v>6.0682870370370373E-2</v>
      </c>
      <c r="G62" s="9">
        <f t="shared" si="13"/>
        <v>0.10396990740740741</v>
      </c>
      <c r="H62" s="8"/>
      <c r="I62" s="8"/>
      <c r="J62" s="10"/>
    </row>
    <row r="63" spans="1:10" x14ac:dyDescent="0.25">
      <c r="A63" s="11"/>
      <c r="B63" s="7"/>
      <c r="C63" s="7" t="s">
        <v>83</v>
      </c>
      <c r="D63" s="8">
        <v>89</v>
      </c>
      <c r="E63" s="8" t="s">
        <v>45</v>
      </c>
      <c r="F63" s="9">
        <v>4.5763888888888889E-2</v>
      </c>
      <c r="G63" s="9">
        <f t="shared" si="13"/>
        <v>0.1497337962962963</v>
      </c>
      <c r="H63" s="8"/>
      <c r="I63" s="8"/>
      <c r="J63" s="10"/>
    </row>
    <row r="64" spans="1:10" ht="13.8" thickBot="1" x14ac:dyDescent="0.3">
      <c r="A64" s="12"/>
      <c r="B64" s="13"/>
      <c r="C64" s="13" t="s">
        <v>84</v>
      </c>
      <c r="D64" s="14">
        <v>99</v>
      </c>
      <c r="E64" s="14" t="s">
        <v>45</v>
      </c>
      <c r="F64" s="15">
        <v>4.7407407407407405E-2</v>
      </c>
      <c r="G64" s="15">
        <f t="shared" si="13"/>
        <v>0.19714120370370369</v>
      </c>
      <c r="H64" s="14">
        <v>9</v>
      </c>
      <c r="I64" s="14">
        <v>9</v>
      </c>
      <c r="J64" s="16"/>
    </row>
    <row r="67" spans="2:3" x14ac:dyDescent="0.25">
      <c r="B67" s="1" t="s">
        <v>85</v>
      </c>
    </row>
    <row r="68" spans="2:3" x14ac:dyDescent="0.25">
      <c r="B68" s="1" t="s">
        <v>87</v>
      </c>
    </row>
    <row r="69" spans="2:3" x14ac:dyDescent="0.25">
      <c r="B69" s="1" t="s">
        <v>88</v>
      </c>
    </row>
    <row r="71" spans="2:3" x14ac:dyDescent="0.25">
      <c r="B71" s="1" t="s">
        <v>89</v>
      </c>
      <c r="C71" s="1" t="s">
        <v>90</v>
      </c>
    </row>
    <row r="72" spans="2:3" x14ac:dyDescent="0.25">
      <c r="B72" s="1" t="s">
        <v>86</v>
      </c>
      <c r="C72" s="1" t="s">
        <v>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sqref="A1:J20"/>
    </sheetView>
  </sheetViews>
  <sheetFormatPr defaultRowHeight="13.2" x14ac:dyDescent="0.25"/>
  <cols>
    <col min="1" max="1" width="8.109375" style="1" customWidth="1"/>
    <col min="2" max="2" width="21.6640625" style="1" customWidth="1"/>
    <col min="3" max="3" width="21.88671875" style="1" customWidth="1"/>
    <col min="4" max="8" width="13.21875" style="17" customWidth="1"/>
    <col min="9" max="10" width="9.109375" style="17" customWidth="1"/>
    <col min="11" max="16384" width="8.88671875" style="1"/>
  </cols>
  <sheetData>
    <row r="1" spans="1:10" x14ac:dyDescent="0.25">
      <c r="A1" s="1" t="s">
        <v>0</v>
      </c>
      <c r="D1" s="2"/>
      <c r="E1" s="2"/>
      <c r="F1" s="2"/>
      <c r="G1" s="2"/>
      <c r="H1" s="2"/>
      <c r="I1" s="2"/>
      <c r="J1" s="2"/>
    </row>
    <row r="2" spans="1:10" x14ac:dyDescent="0.25">
      <c r="A2" s="1" t="s">
        <v>1</v>
      </c>
      <c r="D2" s="2"/>
      <c r="E2" s="2"/>
      <c r="F2" s="2"/>
      <c r="G2" s="2"/>
      <c r="H2" s="2"/>
      <c r="I2" s="2"/>
      <c r="J2" s="2"/>
    </row>
    <row r="3" spans="1:10" x14ac:dyDescent="0.25">
      <c r="D3" s="2"/>
      <c r="E3" s="2"/>
      <c r="F3" s="2"/>
      <c r="G3" s="2"/>
      <c r="H3" s="2"/>
      <c r="I3" s="2"/>
      <c r="J3" s="2"/>
    </row>
    <row r="4" spans="1:10" x14ac:dyDescent="0.25">
      <c r="A4" s="1" t="s">
        <v>21</v>
      </c>
      <c r="D4" s="2"/>
      <c r="E4" s="2"/>
      <c r="F4" s="2"/>
      <c r="G4" s="2"/>
      <c r="H4" s="2"/>
      <c r="I4" s="2"/>
      <c r="J4" s="2"/>
    </row>
    <row r="5" spans="1:10" x14ac:dyDescent="0.25">
      <c r="A5" s="1" t="s">
        <v>22</v>
      </c>
      <c r="D5" s="2"/>
      <c r="E5" s="2"/>
      <c r="F5" s="2"/>
      <c r="G5" s="2"/>
      <c r="H5" s="2"/>
      <c r="I5" s="2"/>
      <c r="J5" s="2"/>
    </row>
    <row r="6" spans="1:10" x14ac:dyDescent="0.25">
      <c r="D6" s="2"/>
      <c r="E6" s="2"/>
      <c r="F6" s="2"/>
      <c r="G6" s="2"/>
      <c r="H6" s="2"/>
      <c r="I6" s="2"/>
      <c r="J6" s="2"/>
    </row>
    <row r="7" spans="1:10" x14ac:dyDescent="0.25">
      <c r="A7" s="1" t="s">
        <v>2</v>
      </c>
      <c r="D7" s="2"/>
      <c r="E7" s="2"/>
      <c r="F7" s="2"/>
      <c r="G7" s="2"/>
      <c r="H7" s="2"/>
      <c r="I7" s="2"/>
      <c r="J7" s="2"/>
    </row>
    <row r="8" spans="1:10" x14ac:dyDescent="0.25">
      <c r="A8" s="1" t="s">
        <v>3</v>
      </c>
      <c r="D8" s="2"/>
      <c r="E8" s="2"/>
      <c r="F8" s="2"/>
      <c r="G8" s="2"/>
      <c r="H8" s="2"/>
      <c r="I8" s="2"/>
      <c r="J8" s="2"/>
    </row>
    <row r="9" spans="1:10" x14ac:dyDescent="0.25">
      <c r="D9" s="2"/>
      <c r="E9" s="2"/>
      <c r="F9" s="2"/>
      <c r="G9" s="2"/>
      <c r="H9" s="2"/>
      <c r="I9" s="2"/>
      <c r="J9" s="2"/>
    </row>
    <row r="10" spans="1:10" x14ac:dyDescent="0.25">
      <c r="A10" s="1" t="s">
        <v>92</v>
      </c>
      <c r="D10" s="2"/>
      <c r="E10" s="2"/>
      <c r="F10" s="2"/>
      <c r="G10" s="2"/>
      <c r="H10" s="2"/>
      <c r="I10" s="2"/>
      <c r="J10" s="2"/>
    </row>
    <row r="11" spans="1:10" x14ac:dyDescent="0.25">
      <c r="A11" s="1" t="s">
        <v>93</v>
      </c>
      <c r="D11" s="2"/>
      <c r="E11" s="2"/>
      <c r="F11" s="2"/>
      <c r="G11" s="2"/>
      <c r="H11" s="2"/>
      <c r="I11" s="2"/>
      <c r="J11" s="2"/>
    </row>
    <row r="12" spans="1:10" x14ac:dyDescent="0.25">
      <c r="A12" s="1" t="s">
        <v>25</v>
      </c>
      <c r="D12" s="2"/>
      <c r="E12" s="2"/>
      <c r="F12" s="2"/>
      <c r="G12" s="2"/>
      <c r="H12" s="2"/>
      <c r="I12" s="2"/>
      <c r="J12" s="2"/>
    </row>
    <row r="13" spans="1:10" x14ac:dyDescent="0.25">
      <c r="D13" s="2"/>
      <c r="E13" s="2"/>
      <c r="F13" s="2"/>
      <c r="G13" s="2"/>
      <c r="H13" s="2"/>
      <c r="I13" s="2"/>
      <c r="J13" s="2"/>
    </row>
    <row r="14" spans="1:10" x14ac:dyDescent="0.25">
      <c r="A14" s="1" t="s">
        <v>26</v>
      </c>
      <c r="D14" s="2"/>
      <c r="E14" s="2"/>
      <c r="F14" s="2"/>
      <c r="G14" s="2"/>
      <c r="H14" s="2"/>
      <c r="I14" s="2"/>
      <c r="J14" s="2"/>
    </row>
    <row r="15" spans="1:10" x14ac:dyDescent="0.25">
      <c r="A15" s="1" t="s">
        <v>27</v>
      </c>
      <c r="D15" s="2"/>
      <c r="E15" s="2"/>
      <c r="F15" s="2"/>
      <c r="G15" s="2"/>
      <c r="H15" s="2"/>
      <c r="I15" s="2"/>
      <c r="J15" s="2"/>
    </row>
    <row r="16" spans="1:10" x14ac:dyDescent="0.25">
      <c r="D16" s="2"/>
      <c r="E16" s="2"/>
      <c r="F16" s="2"/>
      <c r="G16" s="2"/>
      <c r="H16" s="2"/>
      <c r="I16" s="2"/>
      <c r="J16" s="2"/>
    </row>
    <row r="17" spans="1:10" x14ac:dyDescent="0.25">
      <c r="A17" s="1" t="s">
        <v>94</v>
      </c>
      <c r="D17" s="2"/>
      <c r="E17" s="2"/>
      <c r="F17" s="2"/>
      <c r="G17" s="2"/>
      <c r="H17" s="2"/>
      <c r="I17" s="2"/>
      <c r="J17" s="2"/>
    </row>
    <row r="18" spans="1:10" x14ac:dyDescent="0.25">
      <c r="D18" s="2"/>
      <c r="E18" s="2"/>
      <c r="F18" s="2"/>
      <c r="G18" s="2"/>
      <c r="H18" s="2"/>
      <c r="I18" s="2"/>
      <c r="J18" s="2"/>
    </row>
    <row r="19" spans="1:10" ht="13.8" thickBot="1" x14ac:dyDescent="0.3">
      <c r="D19" s="2"/>
      <c r="E19" s="2"/>
      <c r="F19" s="2"/>
      <c r="G19" s="2"/>
      <c r="H19" s="2"/>
      <c r="I19" s="2"/>
      <c r="J19" s="2"/>
    </row>
    <row r="20" spans="1:10" ht="40.200000000000003" thickBot="1" x14ac:dyDescent="0.3">
      <c r="A20" s="18" t="s">
        <v>29</v>
      </c>
      <c r="B20" s="19" t="s">
        <v>30</v>
      </c>
      <c r="C20" s="19" t="s">
        <v>31</v>
      </c>
      <c r="D20" s="19" t="s">
        <v>32</v>
      </c>
      <c r="E20" s="19" t="s">
        <v>33</v>
      </c>
      <c r="F20" s="19" t="s">
        <v>34</v>
      </c>
      <c r="G20" s="19" t="s">
        <v>35</v>
      </c>
      <c r="H20" s="19" t="s">
        <v>36</v>
      </c>
      <c r="I20" s="19" t="s">
        <v>37</v>
      </c>
      <c r="J20" s="20" t="s">
        <v>38</v>
      </c>
    </row>
    <row r="21" spans="1:10" x14ac:dyDescent="0.25">
      <c r="A21" s="21">
        <v>1</v>
      </c>
      <c r="B21" s="22" t="s">
        <v>111</v>
      </c>
      <c r="C21" s="22" t="s">
        <v>109</v>
      </c>
      <c r="D21" s="23">
        <v>128</v>
      </c>
      <c r="E21" s="23" t="s">
        <v>44</v>
      </c>
      <c r="F21" s="24">
        <v>2.2175925925925929E-2</v>
      </c>
      <c r="G21" s="24">
        <f>F21</f>
        <v>2.2175925925925929E-2</v>
      </c>
      <c r="H21" s="23"/>
      <c r="I21" s="23"/>
      <c r="J21" s="25" t="s">
        <v>45</v>
      </c>
    </row>
    <row r="22" spans="1:10" x14ac:dyDescent="0.25">
      <c r="A22" s="6"/>
      <c r="B22" s="7"/>
      <c r="C22" s="7" t="s">
        <v>95</v>
      </c>
      <c r="D22" s="26">
        <v>138</v>
      </c>
      <c r="E22" s="26" t="s">
        <v>45</v>
      </c>
      <c r="F22" s="27">
        <v>2.3101851851851849E-2</v>
      </c>
      <c r="G22" s="27">
        <f>G21+F22</f>
        <v>4.5277777777777778E-2</v>
      </c>
      <c r="H22" s="26" t="s">
        <v>120</v>
      </c>
      <c r="I22" s="26"/>
      <c r="J22" s="28" t="s">
        <v>45</v>
      </c>
    </row>
    <row r="23" spans="1:10" x14ac:dyDescent="0.25">
      <c r="A23" s="6"/>
      <c r="B23" s="7"/>
      <c r="C23" s="7"/>
      <c r="D23" s="26"/>
      <c r="E23" s="26"/>
      <c r="F23" s="26"/>
      <c r="G23" s="26"/>
      <c r="H23" s="26"/>
      <c r="I23" s="26"/>
      <c r="J23" s="28"/>
    </row>
    <row r="24" spans="1:10" x14ac:dyDescent="0.25">
      <c r="A24" s="6">
        <v>2</v>
      </c>
      <c r="B24" s="7" t="s">
        <v>112</v>
      </c>
      <c r="C24" s="7" t="s">
        <v>96</v>
      </c>
      <c r="D24" s="26">
        <v>127</v>
      </c>
      <c r="E24" s="26" t="s">
        <v>45</v>
      </c>
      <c r="F24" s="27">
        <v>2.4259259259259258E-2</v>
      </c>
      <c r="G24" s="27">
        <f t="shared" ref="G24" si="0">F24</f>
        <v>2.4259259259259258E-2</v>
      </c>
      <c r="H24" s="26"/>
      <c r="I24" s="26"/>
      <c r="J24" s="28" t="s">
        <v>45</v>
      </c>
    </row>
    <row r="25" spans="1:10" x14ac:dyDescent="0.25">
      <c r="A25" s="6"/>
      <c r="B25" s="7"/>
      <c r="C25" s="7" t="s">
        <v>97</v>
      </c>
      <c r="D25" s="26">
        <v>137</v>
      </c>
      <c r="E25" s="26" t="s">
        <v>45</v>
      </c>
      <c r="F25" s="27">
        <v>2.2870370370370371E-2</v>
      </c>
      <c r="G25" s="27">
        <f t="shared" ref="G25" si="1">G24+F25</f>
        <v>4.7129629629629632E-2</v>
      </c>
      <c r="H25" s="26" t="s">
        <v>120</v>
      </c>
      <c r="I25" s="26"/>
      <c r="J25" s="28" t="s">
        <v>45</v>
      </c>
    </row>
    <row r="26" spans="1:10" x14ac:dyDescent="0.25">
      <c r="A26" s="11"/>
      <c r="B26" s="7"/>
      <c r="C26" s="7"/>
      <c r="D26" s="26"/>
      <c r="E26" s="26"/>
      <c r="F26" s="26"/>
      <c r="G26" s="26"/>
      <c r="H26" s="26"/>
      <c r="I26" s="26"/>
      <c r="J26" s="28"/>
    </row>
    <row r="27" spans="1:10" x14ac:dyDescent="0.25">
      <c r="A27" s="6">
        <v>3</v>
      </c>
      <c r="B27" s="7" t="s">
        <v>113</v>
      </c>
      <c r="C27" s="7" t="s">
        <v>98</v>
      </c>
      <c r="D27" s="26">
        <v>121</v>
      </c>
      <c r="E27" s="26" t="s">
        <v>45</v>
      </c>
      <c r="F27" s="27">
        <v>2.3969907407407409E-2</v>
      </c>
      <c r="G27" s="27">
        <f t="shared" ref="G27" si="2">F27</f>
        <v>2.3969907407407409E-2</v>
      </c>
      <c r="H27" s="26"/>
      <c r="I27" s="26"/>
      <c r="J27" s="28" t="s">
        <v>45</v>
      </c>
    </row>
    <row r="28" spans="1:10" x14ac:dyDescent="0.25">
      <c r="A28" s="6"/>
      <c r="B28" s="7"/>
      <c r="C28" s="7" t="s">
        <v>99</v>
      </c>
      <c r="D28" s="26">
        <v>131</v>
      </c>
      <c r="E28" s="26" t="s">
        <v>45</v>
      </c>
      <c r="F28" s="27">
        <v>2.34375E-2</v>
      </c>
      <c r="G28" s="27">
        <f t="shared" ref="G28" si="3">G27+F28</f>
        <v>4.7407407407407412E-2</v>
      </c>
      <c r="H28" s="26">
        <v>1</v>
      </c>
      <c r="I28" s="26">
        <v>1</v>
      </c>
      <c r="J28" s="28" t="s">
        <v>45</v>
      </c>
    </row>
    <row r="29" spans="1:10" x14ac:dyDescent="0.25">
      <c r="A29" s="6"/>
      <c r="B29" s="7"/>
      <c r="C29" s="7"/>
      <c r="D29" s="26"/>
      <c r="E29" s="26"/>
      <c r="F29" s="26"/>
      <c r="G29" s="26"/>
      <c r="H29" s="26"/>
      <c r="I29" s="26"/>
      <c r="J29" s="28"/>
    </row>
    <row r="30" spans="1:10" x14ac:dyDescent="0.25">
      <c r="A30" s="6">
        <v>4</v>
      </c>
      <c r="B30" s="7" t="s">
        <v>114</v>
      </c>
      <c r="C30" s="7" t="s">
        <v>100</v>
      </c>
      <c r="D30" s="26">
        <v>122</v>
      </c>
      <c r="E30" s="26" t="s">
        <v>45</v>
      </c>
      <c r="F30" s="27">
        <v>2.3958333333333331E-2</v>
      </c>
      <c r="G30" s="27">
        <f t="shared" ref="G30" si="4">F30</f>
        <v>2.3958333333333331E-2</v>
      </c>
      <c r="H30" s="26"/>
      <c r="I30" s="26"/>
      <c r="J30" s="28"/>
    </row>
    <row r="31" spans="1:10" x14ac:dyDescent="0.25">
      <c r="A31" s="6"/>
      <c r="B31" s="7"/>
      <c r="C31" s="7" t="s">
        <v>101</v>
      </c>
      <c r="D31" s="26">
        <v>132</v>
      </c>
      <c r="E31" s="26" t="s">
        <v>45</v>
      </c>
      <c r="F31" s="27">
        <v>2.3958333333333331E-2</v>
      </c>
      <c r="G31" s="27">
        <f t="shared" ref="G31" si="5">G30+F31</f>
        <v>4.7916666666666663E-2</v>
      </c>
      <c r="H31" s="26">
        <v>2</v>
      </c>
      <c r="I31" s="26">
        <v>2</v>
      </c>
      <c r="J31" s="28"/>
    </row>
    <row r="32" spans="1:10" x14ac:dyDescent="0.25">
      <c r="A32" s="11"/>
      <c r="B32" s="7"/>
      <c r="C32" s="7"/>
      <c r="D32" s="26"/>
      <c r="E32" s="26"/>
      <c r="F32" s="26"/>
      <c r="G32" s="26"/>
      <c r="H32" s="26"/>
      <c r="I32" s="26"/>
      <c r="J32" s="28"/>
    </row>
    <row r="33" spans="1:10" x14ac:dyDescent="0.25">
      <c r="A33" s="6">
        <v>5</v>
      </c>
      <c r="B33" s="7" t="s">
        <v>115</v>
      </c>
      <c r="C33" s="7" t="s">
        <v>102</v>
      </c>
      <c r="D33" s="26">
        <v>123</v>
      </c>
      <c r="E33" s="26" t="s">
        <v>45</v>
      </c>
      <c r="F33" s="27">
        <v>2.6446759259259264E-2</v>
      </c>
      <c r="G33" s="27">
        <f t="shared" ref="G33" si="6">F33</f>
        <v>2.6446759259259264E-2</v>
      </c>
      <c r="H33" s="26"/>
      <c r="I33" s="26"/>
      <c r="J33" s="28"/>
    </row>
    <row r="34" spans="1:10" x14ac:dyDescent="0.25">
      <c r="A34" s="6"/>
      <c r="B34" s="7"/>
      <c r="C34" s="7" t="s">
        <v>103</v>
      </c>
      <c r="D34" s="26">
        <v>133</v>
      </c>
      <c r="E34" s="26" t="s">
        <v>45</v>
      </c>
      <c r="F34" s="27">
        <v>3.1307870370370368E-2</v>
      </c>
      <c r="G34" s="27">
        <f t="shared" ref="G34" si="7">G33+F34</f>
        <v>5.7754629629629628E-2</v>
      </c>
      <c r="H34" s="26">
        <v>3</v>
      </c>
      <c r="I34" s="26">
        <v>3</v>
      </c>
      <c r="J34" s="28"/>
    </row>
    <row r="35" spans="1:10" x14ac:dyDescent="0.25">
      <c r="A35" s="6"/>
      <c r="B35" s="7"/>
      <c r="C35" s="7"/>
      <c r="D35" s="26"/>
      <c r="E35" s="26"/>
      <c r="F35" s="26"/>
      <c r="G35" s="26"/>
      <c r="H35" s="26"/>
      <c r="I35" s="26"/>
      <c r="J35" s="28"/>
    </row>
    <row r="36" spans="1:10" x14ac:dyDescent="0.25">
      <c r="A36" s="6">
        <v>6</v>
      </c>
      <c r="B36" s="7" t="s">
        <v>116</v>
      </c>
      <c r="C36" s="7" t="s">
        <v>110</v>
      </c>
      <c r="D36" s="26">
        <v>126</v>
      </c>
      <c r="E36" s="26" t="s">
        <v>45</v>
      </c>
      <c r="F36" s="27">
        <v>2.6331018518518517E-2</v>
      </c>
      <c r="G36" s="27">
        <f t="shared" ref="G36" si="8">F36</f>
        <v>2.6331018518518517E-2</v>
      </c>
      <c r="H36" s="26"/>
      <c r="I36" s="26"/>
      <c r="J36" s="28"/>
    </row>
    <row r="37" spans="1:10" x14ac:dyDescent="0.25">
      <c r="A37" s="6"/>
      <c r="B37" s="7"/>
      <c r="C37" s="7" t="s">
        <v>104</v>
      </c>
      <c r="D37" s="26">
        <v>136</v>
      </c>
      <c r="E37" s="26" t="s">
        <v>45</v>
      </c>
      <c r="F37" s="27">
        <v>3.7164351851851851E-2</v>
      </c>
      <c r="G37" s="27">
        <f t="shared" ref="G37" si="9">G36+F37</f>
        <v>6.3495370370370369E-2</v>
      </c>
      <c r="H37" s="26">
        <v>4</v>
      </c>
      <c r="I37" s="26">
        <v>4</v>
      </c>
      <c r="J37" s="28"/>
    </row>
    <row r="38" spans="1:10" x14ac:dyDescent="0.25">
      <c r="A38" s="11"/>
      <c r="B38" s="7"/>
      <c r="C38" s="7"/>
      <c r="D38" s="26"/>
      <c r="E38" s="26"/>
      <c r="F38" s="26"/>
      <c r="G38" s="26"/>
      <c r="H38" s="26"/>
      <c r="I38" s="26"/>
      <c r="J38" s="28"/>
    </row>
    <row r="39" spans="1:10" x14ac:dyDescent="0.25">
      <c r="A39" s="6">
        <v>7</v>
      </c>
      <c r="B39" s="7" t="s">
        <v>117</v>
      </c>
      <c r="C39" s="7" t="s">
        <v>105</v>
      </c>
      <c r="D39" s="26">
        <v>124</v>
      </c>
      <c r="E39" s="26" t="s">
        <v>45</v>
      </c>
      <c r="F39" s="27">
        <v>2.6365740740740742E-2</v>
      </c>
      <c r="G39" s="27">
        <f t="shared" ref="G39" si="10">F39</f>
        <v>2.6365740740740742E-2</v>
      </c>
      <c r="H39" s="26"/>
      <c r="I39" s="26"/>
      <c r="J39" s="28"/>
    </row>
    <row r="40" spans="1:10" x14ac:dyDescent="0.25">
      <c r="A40" s="6"/>
      <c r="B40" s="7"/>
      <c r="C40" s="7" t="s">
        <v>106</v>
      </c>
      <c r="D40" s="26">
        <v>134</v>
      </c>
      <c r="E40" s="26" t="s">
        <v>45</v>
      </c>
      <c r="F40" s="27">
        <v>3.8009259259259263E-2</v>
      </c>
      <c r="G40" s="27">
        <f t="shared" ref="G40" si="11">G39+F40</f>
        <v>6.4375000000000002E-2</v>
      </c>
      <c r="H40" s="26">
        <v>5</v>
      </c>
      <c r="I40" s="26">
        <v>5</v>
      </c>
      <c r="J40" s="28"/>
    </row>
    <row r="41" spans="1:10" x14ac:dyDescent="0.25">
      <c r="A41" s="6"/>
      <c r="B41" s="7"/>
      <c r="C41" s="7"/>
      <c r="D41" s="26"/>
      <c r="E41" s="26"/>
      <c r="F41" s="26"/>
      <c r="G41" s="26"/>
      <c r="H41" s="26"/>
      <c r="I41" s="26"/>
      <c r="J41" s="28"/>
    </row>
    <row r="42" spans="1:10" x14ac:dyDescent="0.25">
      <c r="A42" s="6">
        <v>8</v>
      </c>
      <c r="B42" s="7" t="s">
        <v>118</v>
      </c>
      <c r="C42" s="7" t="s">
        <v>107</v>
      </c>
      <c r="D42" s="26">
        <v>125</v>
      </c>
      <c r="E42" s="26" t="s">
        <v>45</v>
      </c>
      <c r="F42" s="29" t="s">
        <v>119</v>
      </c>
      <c r="G42" s="26"/>
      <c r="H42" s="26"/>
      <c r="I42" s="26"/>
      <c r="J42" s="28"/>
    </row>
    <row r="43" spans="1:10" ht="13.8" thickBot="1" x14ac:dyDescent="0.3">
      <c r="A43" s="30"/>
      <c r="B43" s="13"/>
      <c r="C43" s="13" t="s">
        <v>108</v>
      </c>
      <c r="D43" s="31">
        <v>135</v>
      </c>
      <c r="E43" s="31" t="s">
        <v>45</v>
      </c>
      <c r="F43" s="31"/>
      <c r="G43" s="31"/>
      <c r="H43" s="31"/>
      <c r="I43" s="31"/>
      <c r="J43" s="32"/>
    </row>
    <row r="45" spans="1:10" x14ac:dyDescent="0.25">
      <c r="B45" s="1" t="s">
        <v>85</v>
      </c>
    </row>
    <row r="46" spans="1:10" x14ac:dyDescent="0.25">
      <c r="B46" s="1" t="s">
        <v>121</v>
      </c>
    </row>
    <row r="47" spans="1:10" x14ac:dyDescent="0.25">
      <c r="B47" s="1" t="s">
        <v>122</v>
      </c>
    </row>
    <row r="49" spans="2:3" x14ac:dyDescent="0.25">
      <c r="B49" s="1" t="s">
        <v>89</v>
      </c>
      <c r="C49" s="1" t="s">
        <v>90</v>
      </c>
    </row>
    <row r="50" spans="2:3" x14ac:dyDescent="0.25">
      <c r="B50" s="1" t="s">
        <v>86</v>
      </c>
      <c r="C50" s="1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opLeftCell="A44" workbookViewId="0">
      <selection activeCell="B66" sqref="B66:C72"/>
    </sheetView>
  </sheetViews>
  <sheetFormatPr defaultColWidth="40.5546875" defaultRowHeight="13.2" x14ac:dyDescent="0.25"/>
  <cols>
    <col min="1" max="1" width="8" style="1" customWidth="1"/>
    <col min="2" max="2" width="19.5546875" style="1" customWidth="1"/>
    <col min="3" max="3" width="21.88671875" style="1" customWidth="1"/>
    <col min="4" max="4" width="12.109375" style="17" customWidth="1"/>
    <col min="5" max="5" width="12.21875" style="17" customWidth="1"/>
    <col min="6" max="6" width="12.88671875" style="17" customWidth="1"/>
    <col min="7" max="7" width="13.77734375" style="17" customWidth="1"/>
    <col min="8" max="9" width="8.88671875" style="17" customWidth="1"/>
    <col min="10" max="10" width="15" style="17" customWidth="1"/>
    <col min="11" max="16384" width="40.5546875" style="1"/>
  </cols>
  <sheetData>
    <row r="1" spans="1:10" x14ac:dyDescent="0.25">
      <c r="A1" s="1" t="s">
        <v>0</v>
      </c>
      <c r="D1" s="2"/>
      <c r="E1" s="2"/>
      <c r="F1" s="2"/>
      <c r="G1" s="2"/>
      <c r="H1" s="2"/>
      <c r="I1" s="2"/>
      <c r="J1" s="2"/>
    </row>
    <row r="2" spans="1:10" x14ac:dyDescent="0.25">
      <c r="A2" s="1" t="s">
        <v>1</v>
      </c>
      <c r="D2" s="2"/>
      <c r="E2" s="2"/>
      <c r="F2" s="2"/>
      <c r="G2" s="2"/>
      <c r="H2" s="2"/>
      <c r="I2" s="2"/>
      <c r="J2" s="2"/>
    </row>
    <row r="3" spans="1:10" x14ac:dyDescent="0.25">
      <c r="D3" s="2"/>
      <c r="E3" s="2"/>
      <c r="F3" s="2"/>
      <c r="G3" s="2"/>
      <c r="H3" s="2"/>
      <c r="I3" s="2"/>
      <c r="J3" s="2"/>
    </row>
    <row r="4" spans="1:10" x14ac:dyDescent="0.25">
      <c r="A4" s="1" t="s">
        <v>21</v>
      </c>
      <c r="D4" s="2"/>
      <c r="E4" s="2"/>
      <c r="F4" s="2"/>
      <c r="G4" s="2"/>
      <c r="H4" s="2"/>
      <c r="I4" s="2"/>
      <c r="J4" s="2"/>
    </row>
    <row r="5" spans="1:10" x14ac:dyDescent="0.25">
      <c r="A5" s="1" t="s">
        <v>22</v>
      </c>
      <c r="D5" s="2"/>
      <c r="E5" s="2"/>
      <c r="F5" s="2"/>
      <c r="G5" s="2"/>
      <c r="H5" s="2"/>
      <c r="I5" s="2"/>
      <c r="J5" s="2"/>
    </row>
    <row r="6" spans="1:10" x14ac:dyDescent="0.25">
      <c r="D6" s="2"/>
      <c r="E6" s="2"/>
      <c r="F6" s="2"/>
      <c r="G6" s="2"/>
      <c r="H6" s="2"/>
      <c r="I6" s="2"/>
      <c r="J6" s="2"/>
    </row>
    <row r="7" spans="1:10" x14ac:dyDescent="0.25">
      <c r="A7" s="1" t="s">
        <v>2</v>
      </c>
      <c r="D7" s="2"/>
      <c r="E7" s="2"/>
      <c r="F7" s="2"/>
      <c r="G7" s="2"/>
      <c r="H7" s="2"/>
      <c r="I7" s="2"/>
      <c r="J7" s="2"/>
    </row>
    <row r="8" spans="1:10" x14ac:dyDescent="0.25">
      <c r="A8" s="1" t="s">
        <v>3</v>
      </c>
      <c r="D8" s="2"/>
      <c r="E8" s="2"/>
      <c r="F8" s="2"/>
      <c r="G8" s="2"/>
      <c r="H8" s="2"/>
      <c r="I8" s="2"/>
      <c r="J8" s="2"/>
    </row>
    <row r="9" spans="1:10" x14ac:dyDescent="0.25">
      <c r="D9" s="2"/>
      <c r="E9" s="2"/>
      <c r="F9" s="2"/>
      <c r="G9" s="2"/>
      <c r="H9" s="2"/>
      <c r="I9" s="2"/>
      <c r="J9" s="2"/>
    </row>
    <row r="10" spans="1:10" x14ac:dyDescent="0.25">
      <c r="A10" s="1" t="s">
        <v>132</v>
      </c>
      <c r="D10" s="2"/>
      <c r="E10" s="2"/>
      <c r="F10" s="2"/>
      <c r="G10" s="2"/>
      <c r="H10" s="2"/>
      <c r="I10" s="2"/>
      <c r="J10" s="2"/>
    </row>
    <row r="11" spans="1:10" x14ac:dyDescent="0.25">
      <c r="A11" s="1" t="s">
        <v>133</v>
      </c>
      <c r="D11" s="2"/>
      <c r="E11" s="2"/>
      <c r="F11" s="2"/>
      <c r="G11" s="2"/>
      <c r="H11" s="2"/>
      <c r="I11" s="2"/>
      <c r="J11" s="2"/>
    </row>
    <row r="12" spans="1:10" x14ac:dyDescent="0.25">
      <c r="A12" s="1" t="s">
        <v>25</v>
      </c>
      <c r="D12" s="2"/>
      <c r="E12" s="2"/>
      <c r="F12" s="2"/>
      <c r="G12" s="2"/>
      <c r="H12" s="2"/>
      <c r="I12" s="2"/>
      <c r="J12" s="2"/>
    </row>
    <row r="13" spans="1:10" x14ac:dyDescent="0.25">
      <c r="D13" s="2"/>
      <c r="E13" s="2"/>
      <c r="F13" s="2"/>
      <c r="G13" s="2"/>
      <c r="H13" s="2"/>
      <c r="I13" s="2"/>
      <c r="J13" s="2"/>
    </row>
    <row r="14" spans="1:10" x14ac:dyDescent="0.25">
      <c r="A14" s="1" t="s">
        <v>26</v>
      </c>
      <c r="D14" s="2"/>
      <c r="E14" s="2"/>
      <c r="F14" s="2"/>
      <c r="G14" s="2"/>
      <c r="H14" s="2"/>
      <c r="I14" s="2"/>
      <c r="J14" s="2"/>
    </row>
    <row r="15" spans="1:10" x14ac:dyDescent="0.25">
      <c r="A15" s="1" t="s">
        <v>134</v>
      </c>
      <c r="D15" s="2"/>
      <c r="E15" s="2"/>
      <c r="F15" s="2"/>
      <c r="G15" s="2"/>
      <c r="H15" s="2"/>
      <c r="I15" s="2"/>
      <c r="J15" s="2"/>
    </row>
    <row r="16" spans="1:10" x14ac:dyDescent="0.25">
      <c r="D16" s="2"/>
      <c r="E16" s="2"/>
      <c r="F16" s="2"/>
      <c r="G16" s="2"/>
      <c r="H16" s="2"/>
      <c r="I16" s="2"/>
      <c r="J16" s="2"/>
    </row>
    <row r="17" spans="1:10" x14ac:dyDescent="0.25">
      <c r="A17" s="1" t="s">
        <v>135</v>
      </c>
      <c r="D17" s="2"/>
      <c r="E17" s="2"/>
      <c r="F17" s="2"/>
      <c r="G17" s="2"/>
      <c r="H17" s="2"/>
      <c r="I17" s="2"/>
      <c r="J17" s="2"/>
    </row>
    <row r="18" spans="1:10" x14ac:dyDescent="0.25">
      <c r="D18" s="2"/>
      <c r="E18" s="2"/>
      <c r="F18" s="2"/>
      <c r="G18" s="2"/>
      <c r="H18" s="2"/>
      <c r="I18" s="2"/>
      <c r="J18" s="2"/>
    </row>
    <row r="19" spans="1:10" ht="13.8" thickBot="1" x14ac:dyDescent="0.3">
      <c r="D19" s="2"/>
      <c r="E19" s="2"/>
      <c r="F19" s="2"/>
      <c r="G19" s="2"/>
      <c r="H19" s="2"/>
      <c r="I19" s="2"/>
      <c r="J19" s="2"/>
    </row>
    <row r="20" spans="1:10" ht="27" thickBot="1" x14ac:dyDescent="0.3">
      <c r="A20" s="33" t="s">
        <v>29</v>
      </c>
      <c r="B20" s="34" t="s">
        <v>30</v>
      </c>
      <c r="C20" s="34" t="s">
        <v>31</v>
      </c>
      <c r="D20" s="34" t="s">
        <v>32</v>
      </c>
      <c r="E20" s="34" t="s">
        <v>33</v>
      </c>
      <c r="F20" s="34" t="s">
        <v>34</v>
      </c>
      <c r="G20" s="34" t="s">
        <v>35</v>
      </c>
      <c r="H20" s="34" t="s">
        <v>36</v>
      </c>
      <c r="I20" s="34" t="s">
        <v>37</v>
      </c>
      <c r="J20" s="35" t="s">
        <v>38</v>
      </c>
    </row>
    <row r="21" spans="1:10" x14ac:dyDescent="0.25">
      <c r="A21" s="21">
        <v>1</v>
      </c>
      <c r="B21" s="22" t="s">
        <v>46</v>
      </c>
      <c r="C21" s="22" t="s">
        <v>123</v>
      </c>
      <c r="D21" s="23">
        <v>11</v>
      </c>
      <c r="E21" s="23" t="s">
        <v>44</v>
      </c>
      <c r="F21" s="24">
        <v>3.6874999999999998E-2</v>
      </c>
      <c r="G21" s="24">
        <f>F21</f>
        <v>3.6874999999999998E-2</v>
      </c>
      <c r="H21" s="36"/>
      <c r="I21" s="36"/>
      <c r="J21" s="25" t="s">
        <v>44</v>
      </c>
    </row>
    <row r="22" spans="1:10" x14ac:dyDescent="0.25">
      <c r="A22" s="6"/>
      <c r="B22" s="7"/>
      <c r="C22" s="7" t="s">
        <v>124</v>
      </c>
      <c r="D22" s="26">
        <v>21</v>
      </c>
      <c r="E22" s="26" t="s">
        <v>44</v>
      </c>
      <c r="F22" s="27">
        <v>4.4583333333333336E-2</v>
      </c>
      <c r="G22" s="27">
        <f>F22+G21</f>
        <v>8.1458333333333327E-2</v>
      </c>
      <c r="H22" s="8"/>
      <c r="I22" s="8"/>
      <c r="J22" s="28" t="s">
        <v>44</v>
      </c>
    </row>
    <row r="23" spans="1:10" x14ac:dyDescent="0.25">
      <c r="A23" s="6"/>
      <c r="B23" s="7"/>
      <c r="C23" s="7" t="s">
        <v>136</v>
      </c>
      <c r="D23" s="26">
        <v>31</v>
      </c>
      <c r="E23" s="26" t="s">
        <v>44</v>
      </c>
      <c r="F23" s="27">
        <v>3.6840277777777777E-2</v>
      </c>
      <c r="G23" s="27">
        <f>F23+G22</f>
        <v>0.1182986111111111</v>
      </c>
      <c r="H23" s="8"/>
      <c r="I23" s="8"/>
      <c r="J23" s="28" t="s">
        <v>44</v>
      </c>
    </row>
    <row r="24" spans="1:10" x14ac:dyDescent="0.25">
      <c r="A24" s="6"/>
      <c r="B24" s="7"/>
      <c r="C24" s="7" t="s">
        <v>125</v>
      </c>
      <c r="D24" s="26">
        <v>41</v>
      </c>
      <c r="E24" s="26" t="s">
        <v>44</v>
      </c>
      <c r="F24" s="27">
        <v>3.9259259259259258E-2</v>
      </c>
      <c r="G24" s="27">
        <f>F24+G23</f>
        <v>0.15755787037037036</v>
      </c>
      <c r="H24" s="8">
        <v>1</v>
      </c>
      <c r="I24" s="8">
        <v>1</v>
      </c>
      <c r="J24" s="28" t="s">
        <v>44</v>
      </c>
    </row>
    <row r="25" spans="1:10" x14ac:dyDescent="0.25">
      <c r="A25" s="11"/>
      <c r="B25" s="7"/>
      <c r="C25" s="7"/>
      <c r="D25" s="26"/>
      <c r="E25" s="26"/>
      <c r="F25" s="27"/>
      <c r="G25" s="26"/>
      <c r="H25" s="8"/>
      <c r="I25" s="8"/>
      <c r="J25" s="28"/>
    </row>
    <row r="26" spans="1:10" x14ac:dyDescent="0.25">
      <c r="A26" s="6">
        <v>2</v>
      </c>
      <c r="B26" s="7" t="s">
        <v>70</v>
      </c>
      <c r="C26" s="7" t="s">
        <v>126</v>
      </c>
      <c r="D26" s="26">
        <v>12</v>
      </c>
      <c r="E26" s="26" t="s">
        <v>45</v>
      </c>
      <c r="F26" s="27">
        <v>4.5439814814814815E-2</v>
      </c>
      <c r="G26" s="27">
        <f t="shared" ref="G26" si="0">F26</f>
        <v>4.5439814814814815E-2</v>
      </c>
      <c r="H26" s="8"/>
      <c r="I26" s="8"/>
      <c r="J26" s="28" t="s">
        <v>44</v>
      </c>
    </row>
    <row r="27" spans="1:10" x14ac:dyDescent="0.25">
      <c r="A27" s="6"/>
      <c r="B27" s="7"/>
      <c r="C27" s="7" t="s">
        <v>127</v>
      </c>
      <c r="D27" s="26">
        <v>22</v>
      </c>
      <c r="E27" s="26" t="s">
        <v>44</v>
      </c>
      <c r="F27" s="27">
        <v>4.1469907407407407E-2</v>
      </c>
      <c r="G27" s="27">
        <f t="shared" ref="G27:G29" si="1">F27+G26</f>
        <v>8.6909722222222222E-2</v>
      </c>
      <c r="H27" s="8"/>
      <c r="I27" s="8"/>
      <c r="J27" s="28" t="s">
        <v>44</v>
      </c>
    </row>
    <row r="28" spans="1:10" x14ac:dyDescent="0.25">
      <c r="A28" s="6"/>
      <c r="B28" s="7"/>
      <c r="C28" s="7" t="s">
        <v>137</v>
      </c>
      <c r="D28" s="26">
        <v>32</v>
      </c>
      <c r="E28" s="26" t="s">
        <v>44</v>
      </c>
      <c r="F28" s="27">
        <v>3.9594907407407405E-2</v>
      </c>
      <c r="G28" s="27">
        <f t="shared" si="1"/>
        <v>0.12650462962962963</v>
      </c>
      <c r="H28" s="8"/>
      <c r="I28" s="8"/>
      <c r="J28" s="28" t="s">
        <v>44</v>
      </c>
    </row>
    <row r="29" spans="1:10" x14ac:dyDescent="0.25">
      <c r="A29" s="6"/>
      <c r="B29" s="7"/>
      <c r="C29" s="7" t="s">
        <v>138</v>
      </c>
      <c r="D29" s="26">
        <v>42</v>
      </c>
      <c r="E29" s="26" t="s">
        <v>44</v>
      </c>
      <c r="F29" s="27">
        <v>4.0324074074074075E-2</v>
      </c>
      <c r="G29" s="27">
        <f t="shared" si="1"/>
        <v>0.1668287037037037</v>
      </c>
      <c r="H29" s="8">
        <v>2</v>
      </c>
      <c r="I29" s="8">
        <v>2</v>
      </c>
      <c r="J29" s="28" t="s">
        <v>44</v>
      </c>
    </row>
    <row r="30" spans="1:10" x14ac:dyDescent="0.25">
      <c r="A30" s="6"/>
      <c r="B30" s="7"/>
      <c r="C30" s="7"/>
      <c r="D30" s="26"/>
      <c r="E30" s="26"/>
      <c r="F30" s="26"/>
      <c r="G30" s="26"/>
      <c r="H30" s="8"/>
      <c r="I30" s="8"/>
      <c r="J30" s="28"/>
    </row>
    <row r="31" spans="1:10" x14ac:dyDescent="0.25">
      <c r="A31" s="6">
        <v>3</v>
      </c>
      <c r="B31" s="7" t="s">
        <v>47</v>
      </c>
      <c r="C31" s="7" t="s">
        <v>139</v>
      </c>
      <c r="D31" s="26">
        <v>17</v>
      </c>
      <c r="E31" s="26" t="s">
        <v>44</v>
      </c>
      <c r="F31" s="27">
        <v>3.9189814814814809E-2</v>
      </c>
      <c r="G31" s="27">
        <f t="shared" ref="G31" si="2">F31</f>
        <v>3.9189814814814809E-2</v>
      </c>
      <c r="H31" s="8"/>
      <c r="I31" s="8"/>
      <c r="J31" s="28" t="s">
        <v>44</v>
      </c>
    </row>
    <row r="32" spans="1:10" x14ac:dyDescent="0.25">
      <c r="A32" s="6"/>
      <c r="B32" s="7"/>
      <c r="C32" s="7" t="s">
        <v>140</v>
      </c>
      <c r="D32" s="26">
        <v>27</v>
      </c>
      <c r="E32" s="26" t="s">
        <v>44</v>
      </c>
      <c r="F32" s="27">
        <v>4.3055555555555562E-2</v>
      </c>
      <c r="G32" s="27">
        <f t="shared" ref="G32:G34" si="3">F32+G31</f>
        <v>8.2245370370370371E-2</v>
      </c>
      <c r="H32" s="8"/>
      <c r="I32" s="8"/>
      <c r="J32" s="28" t="s">
        <v>44</v>
      </c>
    </row>
    <row r="33" spans="1:10" x14ac:dyDescent="0.25">
      <c r="A33" s="6"/>
      <c r="B33" s="7"/>
      <c r="C33" s="7" t="s">
        <v>128</v>
      </c>
      <c r="D33" s="26">
        <v>37</v>
      </c>
      <c r="E33" s="26" t="s">
        <v>44</v>
      </c>
      <c r="F33" s="27">
        <v>4.4270833333333336E-2</v>
      </c>
      <c r="G33" s="27">
        <f t="shared" si="3"/>
        <v>0.1265162037037037</v>
      </c>
      <c r="H33" s="8"/>
      <c r="I33" s="8"/>
      <c r="J33" s="28" t="s">
        <v>44</v>
      </c>
    </row>
    <row r="34" spans="1:10" x14ac:dyDescent="0.25">
      <c r="A34" s="6"/>
      <c r="B34" s="7"/>
      <c r="C34" s="7" t="s">
        <v>141</v>
      </c>
      <c r="D34" s="26">
        <v>47</v>
      </c>
      <c r="E34" s="26" t="s">
        <v>44</v>
      </c>
      <c r="F34" s="27">
        <v>4.4907407407407403E-2</v>
      </c>
      <c r="G34" s="27">
        <f t="shared" si="3"/>
        <v>0.1714236111111111</v>
      </c>
      <c r="H34" s="8">
        <v>3</v>
      </c>
      <c r="I34" s="8">
        <v>3</v>
      </c>
      <c r="J34" s="28" t="s">
        <v>44</v>
      </c>
    </row>
    <row r="35" spans="1:10" x14ac:dyDescent="0.25">
      <c r="A35" s="11"/>
      <c r="B35" s="7"/>
      <c r="C35" s="7"/>
      <c r="D35" s="26"/>
      <c r="E35" s="26"/>
      <c r="F35" s="26"/>
      <c r="G35" s="26"/>
      <c r="H35" s="8"/>
      <c r="I35" s="8"/>
      <c r="J35" s="28"/>
    </row>
    <row r="36" spans="1:10" x14ac:dyDescent="0.25">
      <c r="A36" s="6">
        <v>4</v>
      </c>
      <c r="B36" s="7" t="s">
        <v>39</v>
      </c>
      <c r="C36" s="7" t="s">
        <v>142</v>
      </c>
      <c r="D36" s="26">
        <v>13</v>
      </c>
      <c r="E36" s="26" t="s">
        <v>44</v>
      </c>
      <c r="F36" s="27">
        <v>4.6446759259259257E-2</v>
      </c>
      <c r="G36" s="27">
        <f t="shared" ref="G36" si="4">F36</f>
        <v>4.6446759259259257E-2</v>
      </c>
      <c r="H36" s="8"/>
      <c r="I36" s="8"/>
      <c r="J36" s="28"/>
    </row>
    <row r="37" spans="1:10" x14ac:dyDescent="0.25">
      <c r="A37" s="6"/>
      <c r="B37" s="7"/>
      <c r="C37" s="7" t="s">
        <v>143</v>
      </c>
      <c r="D37" s="26">
        <v>23</v>
      </c>
      <c r="E37" s="26" t="s">
        <v>44</v>
      </c>
      <c r="F37" s="27">
        <v>4.2905092592592592E-2</v>
      </c>
      <c r="G37" s="27">
        <f t="shared" ref="G37:G39" si="5">F37+G36</f>
        <v>8.9351851851851849E-2</v>
      </c>
      <c r="H37" s="8"/>
      <c r="I37" s="8"/>
      <c r="J37" s="28"/>
    </row>
    <row r="38" spans="1:10" x14ac:dyDescent="0.25">
      <c r="A38" s="6"/>
      <c r="B38" s="7"/>
      <c r="C38" s="7" t="s">
        <v>144</v>
      </c>
      <c r="D38" s="26">
        <v>33</v>
      </c>
      <c r="E38" s="26" t="s">
        <v>45</v>
      </c>
      <c r="F38" s="27">
        <v>4.6423611111111117E-2</v>
      </c>
      <c r="G38" s="27">
        <f t="shared" si="5"/>
        <v>0.13577546296296297</v>
      </c>
      <c r="H38" s="8"/>
      <c r="I38" s="8"/>
      <c r="J38" s="28"/>
    </row>
    <row r="39" spans="1:10" x14ac:dyDescent="0.25">
      <c r="A39" s="6"/>
      <c r="B39" s="7"/>
      <c r="C39" s="7" t="s">
        <v>145</v>
      </c>
      <c r="D39" s="26">
        <v>43</v>
      </c>
      <c r="E39" s="26" t="s">
        <v>44</v>
      </c>
      <c r="F39" s="27">
        <v>4.4826388888888895E-2</v>
      </c>
      <c r="G39" s="27">
        <f t="shared" si="5"/>
        <v>0.18060185185185187</v>
      </c>
      <c r="H39" s="8">
        <v>4</v>
      </c>
      <c r="I39" s="8">
        <v>4</v>
      </c>
      <c r="J39" s="28"/>
    </row>
    <row r="40" spans="1:10" x14ac:dyDescent="0.25">
      <c r="A40" s="6"/>
      <c r="B40" s="7"/>
      <c r="C40" s="7"/>
      <c r="D40" s="26"/>
      <c r="E40" s="26"/>
      <c r="F40" s="26"/>
      <c r="G40" s="26"/>
      <c r="H40" s="8"/>
      <c r="I40" s="8"/>
      <c r="J40" s="28"/>
    </row>
    <row r="41" spans="1:10" x14ac:dyDescent="0.25">
      <c r="A41" s="6">
        <v>5</v>
      </c>
      <c r="B41" s="7" t="s">
        <v>75</v>
      </c>
      <c r="C41" s="7" t="s">
        <v>129</v>
      </c>
      <c r="D41" s="26">
        <v>19</v>
      </c>
      <c r="E41" s="26" t="s">
        <v>45</v>
      </c>
      <c r="F41" s="27">
        <v>4.6134259259259264E-2</v>
      </c>
      <c r="G41" s="27">
        <f t="shared" ref="G41" si="6">F41</f>
        <v>4.6134259259259264E-2</v>
      </c>
      <c r="H41" s="8"/>
      <c r="I41" s="8"/>
      <c r="J41" s="28"/>
    </row>
    <row r="42" spans="1:10" x14ac:dyDescent="0.25">
      <c r="A42" s="6"/>
      <c r="B42" s="7"/>
      <c r="C42" s="7" t="s">
        <v>146</v>
      </c>
      <c r="D42" s="26">
        <v>29</v>
      </c>
      <c r="E42" s="26" t="s">
        <v>45</v>
      </c>
      <c r="F42" s="27">
        <v>4.3657407407407402E-2</v>
      </c>
      <c r="G42" s="27">
        <f t="shared" ref="G42:G44" si="7">F42+G41</f>
        <v>8.9791666666666659E-2</v>
      </c>
      <c r="H42" s="8"/>
      <c r="I42" s="8"/>
      <c r="J42" s="28"/>
    </row>
    <row r="43" spans="1:10" x14ac:dyDescent="0.25">
      <c r="A43" s="6"/>
      <c r="B43" s="7"/>
      <c r="C43" s="7" t="s">
        <v>147</v>
      </c>
      <c r="D43" s="26">
        <v>39</v>
      </c>
      <c r="E43" s="26" t="s">
        <v>44</v>
      </c>
      <c r="F43" s="27">
        <v>3.9837962962962964E-2</v>
      </c>
      <c r="G43" s="27">
        <f t="shared" si="7"/>
        <v>0.12962962962962962</v>
      </c>
      <c r="H43" s="8"/>
      <c r="I43" s="8"/>
      <c r="J43" s="28"/>
    </row>
    <row r="44" spans="1:10" x14ac:dyDescent="0.25">
      <c r="A44" s="6"/>
      <c r="B44" s="7"/>
      <c r="C44" s="7" t="s">
        <v>130</v>
      </c>
      <c r="D44" s="26">
        <v>49</v>
      </c>
      <c r="E44" s="26" t="s">
        <v>44</v>
      </c>
      <c r="F44" s="27">
        <v>5.2210648148148152E-2</v>
      </c>
      <c r="G44" s="27">
        <f t="shared" si="7"/>
        <v>0.18184027777777778</v>
      </c>
      <c r="H44" s="8">
        <v>5</v>
      </c>
      <c r="I44" s="8">
        <v>5</v>
      </c>
      <c r="J44" s="28"/>
    </row>
    <row r="45" spans="1:10" x14ac:dyDescent="0.25">
      <c r="A45" s="11"/>
      <c r="B45" s="7"/>
      <c r="C45" s="7"/>
      <c r="D45" s="26"/>
      <c r="E45" s="26"/>
      <c r="F45" s="26"/>
      <c r="G45" s="26"/>
      <c r="H45" s="8"/>
      <c r="I45" s="8"/>
      <c r="J45" s="28"/>
    </row>
    <row r="46" spans="1:10" x14ac:dyDescent="0.25">
      <c r="A46" s="6">
        <v>6</v>
      </c>
      <c r="B46" s="7" t="s">
        <v>48</v>
      </c>
      <c r="C46" s="7" t="s">
        <v>148</v>
      </c>
      <c r="D46" s="26">
        <v>18</v>
      </c>
      <c r="E46" s="26" t="s">
        <v>45</v>
      </c>
      <c r="F46" s="27">
        <v>4.5439814814814815E-2</v>
      </c>
      <c r="G46" s="27">
        <f t="shared" ref="G46" si="8">F46</f>
        <v>4.5439814814814815E-2</v>
      </c>
      <c r="H46" s="8"/>
      <c r="I46" s="8"/>
      <c r="J46" s="28"/>
    </row>
    <row r="47" spans="1:10" x14ac:dyDescent="0.25">
      <c r="A47" s="6"/>
      <c r="B47" s="7"/>
      <c r="C47" s="7" t="s">
        <v>149</v>
      </c>
      <c r="D47" s="26">
        <v>28</v>
      </c>
      <c r="E47" s="26" t="s">
        <v>45</v>
      </c>
      <c r="F47" s="27">
        <v>4.6041666666666668E-2</v>
      </c>
      <c r="G47" s="27">
        <f t="shared" ref="G47:G49" si="9">F47+G46</f>
        <v>9.1481481481481483E-2</v>
      </c>
      <c r="H47" s="8"/>
      <c r="I47" s="8"/>
      <c r="J47" s="28"/>
    </row>
    <row r="48" spans="1:10" x14ac:dyDescent="0.25">
      <c r="A48" s="6"/>
      <c r="B48" s="7"/>
      <c r="C48" s="7" t="s">
        <v>150</v>
      </c>
      <c r="D48" s="26">
        <v>38</v>
      </c>
      <c r="E48" s="26" t="s">
        <v>44</v>
      </c>
      <c r="F48" s="27">
        <v>4.7685185185185185E-2</v>
      </c>
      <c r="G48" s="27">
        <f t="shared" si="9"/>
        <v>0.13916666666666666</v>
      </c>
      <c r="H48" s="8"/>
      <c r="I48" s="8"/>
      <c r="J48" s="28"/>
    </row>
    <row r="49" spans="1:10" x14ac:dyDescent="0.25">
      <c r="A49" s="6"/>
      <c r="B49" s="7"/>
      <c r="C49" s="7" t="s">
        <v>131</v>
      </c>
      <c r="D49" s="26">
        <v>48</v>
      </c>
      <c r="E49" s="26" t="s">
        <v>44</v>
      </c>
      <c r="F49" s="27">
        <v>4.2731481481481481E-2</v>
      </c>
      <c r="G49" s="27">
        <f t="shared" si="9"/>
        <v>0.18189814814814814</v>
      </c>
      <c r="H49" s="8">
        <v>6</v>
      </c>
      <c r="I49" s="8">
        <v>6</v>
      </c>
      <c r="J49" s="28"/>
    </row>
    <row r="50" spans="1:10" x14ac:dyDescent="0.25">
      <c r="A50" s="6"/>
      <c r="B50" s="7"/>
      <c r="C50" s="7"/>
      <c r="D50" s="26"/>
      <c r="E50" s="26"/>
      <c r="F50" s="26"/>
      <c r="G50" s="26"/>
      <c r="H50" s="8"/>
      <c r="I50" s="8"/>
      <c r="J50" s="28"/>
    </row>
    <row r="51" spans="1:10" x14ac:dyDescent="0.25">
      <c r="A51" s="6">
        <v>7</v>
      </c>
      <c r="B51" s="7" t="s">
        <v>49</v>
      </c>
      <c r="C51" s="7" t="s">
        <v>151</v>
      </c>
      <c r="D51" s="26" t="s">
        <v>152</v>
      </c>
      <c r="E51" s="26" t="s">
        <v>44</v>
      </c>
      <c r="F51" s="27">
        <v>4.6643518518518522E-2</v>
      </c>
      <c r="G51" s="27">
        <f t="shared" ref="G51:G61" si="10">F51</f>
        <v>4.6643518518518522E-2</v>
      </c>
      <c r="H51" s="8"/>
      <c r="I51" s="8"/>
      <c r="J51" s="28"/>
    </row>
    <row r="52" spans="1:10" x14ac:dyDescent="0.25">
      <c r="A52" s="6"/>
      <c r="B52" s="7"/>
      <c r="C52" s="7" t="s">
        <v>170</v>
      </c>
      <c r="D52" s="26" t="s">
        <v>153</v>
      </c>
      <c r="E52" s="26" t="s">
        <v>44</v>
      </c>
      <c r="F52" s="27">
        <v>4.3368055555555556E-2</v>
      </c>
      <c r="G52" s="27">
        <f t="shared" ref="G52:G64" si="11">F52+G51</f>
        <v>9.0011574074074077E-2</v>
      </c>
      <c r="H52" s="8"/>
      <c r="I52" s="8"/>
      <c r="J52" s="28"/>
    </row>
    <row r="53" spans="1:10" x14ac:dyDescent="0.25">
      <c r="A53" s="6"/>
      <c r="B53" s="7"/>
      <c r="C53" s="7" t="s">
        <v>154</v>
      </c>
      <c r="D53" s="26" t="s">
        <v>155</v>
      </c>
      <c r="E53" s="26" t="s">
        <v>44</v>
      </c>
      <c r="F53" s="27">
        <v>3.9664351851851853E-2</v>
      </c>
      <c r="G53" s="27">
        <f t="shared" si="11"/>
        <v>0.12967592592592592</v>
      </c>
      <c r="H53" s="8"/>
      <c r="I53" s="8"/>
      <c r="J53" s="28"/>
    </row>
    <row r="54" spans="1:10" x14ac:dyDescent="0.25">
      <c r="A54" s="6"/>
      <c r="B54" s="7"/>
      <c r="C54" s="7" t="s">
        <v>156</v>
      </c>
      <c r="D54" s="26" t="s">
        <v>157</v>
      </c>
      <c r="E54" s="26" t="s">
        <v>44</v>
      </c>
      <c r="F54" s="27">
        <v>5.229166666666666E-2</v>
      </c>
      <c r="G54" s="27">
        <f t="shared" si="11"/>
        <v>0.18196759259259257</v>
      </c>
      <c r="H54" s="8">
        <v>7</v>
      </c>
      <c r="I54" s="8">
        <v>7</v>
      </c>
      <c r="J54" s="28"/>
    </row>
    <row r="55" spans="1:10" x14ac:dyDescent="0.25">
      <c r="A55" s="11"/>
      <c r="B55" s="7"/>
      <c r="C55" s="7"/>
      <c r="D55" s="26"/>
      <c r="E55" s="26"/>
      <c r="F55" s="26"/>
      <c r="G55" s="26"/>
      <c r="H55" s="8"/>
      <c r="I55" s="8"/>
      <c r="J55" s="28"/>
    </row>
    <row r="56" spans="1:10" x14ac:dyDescent="0.25">
      <c r="A56" s="6">
        <v>8</v>
      </c>
      <c r="B56" s="7" t="s">
        <v>69</v>
      </c>
      <c r="C56" s="7" t="s">
        <v>171</v>
      </c>
      <c r="D56" s="26" t="s">
        <v>158</v>
      </c>
      <c r="E56" s="26" t="s">
        <v>44</v>
      </c>
      <c r="F56" s="27">
        <v>6.2013888888888889E-2</v>
      </c>
      <c r="G56" s="27">
        <f t="shared" si="10"/>
        <v>6.2013888888888889E-2</v>
      </c>
      <c r="H56" s="8"/>
      <c r="I56" s="8"/>
      <c r="J56" s="28"/>
    </row>
    <row r="57" spans="1:10" x14ac:dyDescent="0.25">
      <c r="A57" s="6"/>
      <c r="B57" s="7"/>
      <c r="C57" s="7" t="s">
        <v>172</v>
      </c>
      <c r="D57" s="26" t="s">
        <v>159</v>
      </c>
      <c r="E57" s="26" t="s">
        <v>44</v>
      </c>
      <c r="F57" s="27">
        <v>4.041666666666667E-2</v>
      </c>
      <c r="G57" s="27">
        <f t="shared" si="11"/>
        <v>0.10243055555555555</v>
      </c>
      <c r="H57" s="8"/>
      <c r="I57" s="8"/>
      <c r="J57" s="28"/>
    </row>
    <row r="58" spans="1:10" x14ac:dyDescent="0.25">
      <c r="A58" s="6"/>
      <c r="B58" s="7"/>
      <c r="C58" s="7" t="s">
        <v>160</v>
      </c>
      <c r="D58" s="26" t="s">
        <v>161</v>
      </c>
      <c r="E58" s="26" t="s">
        <v>44</v>
      </c>
      <c r="F58" s="27">
        <v>4.3923611111111115E-2</v>
      </c>
      <c r="G58" s="27">
        <f t="shared" si="11"/>
        <v>0.14635416666666667</v>
      </c>
      <c r="H58" s="8"/>
      <c r="I58" s="8"/>
      <c r="J58" s="28"/>
    </row>
    <row r="59" spans="1:10" x14ac:dyDescent="0.25">
      <c r="A59" s="6"/>
      <c r="B59" s="7"/>
      <c r="C59" s="7" t="s">
        <v>162</v>
      </c>
      <c r="D59" s="26" t="s">
        <v>163</v>
      </c>
      <c r="E59" s="26" t="s">
        <v>44</v>
      </c>
      <c r="F59" s="27">
        <v>3.8865740740740742E-2</v>
      </c>
      <c r="G59" s="27">
        <f t="shared" si="11"/>
        <v>0.1852199074074074</v>
      </c>
      <c r="H59" s="8">
        <v>8</v>
      </c>
      <c r="I59" s="8">
        <v>8</v>
      </c>
      <c r="J59" s="28"/>
    </row>
    <row r="60" spans="1:10" x14ac:dyDescent="0.25">
      <c r="A60" s="6"/>
      <c r="B60" s="7"/>
      <c r="C60" s="7"/>
      <c r="D60" s="26"/>
      <c r="E60" s="26"/>
      <c r="F60" s="26"/>
      <c r="G60" s="26"/>
      <c r="H60" s="8"/>
      <c r="I60" s="8"/>
      <c r="J60" s="28"/>
    </row>
    <row r="61" spans="1:10" x14ac:dyDescent="0.25">
      <c r="A61" s="6">
        <v>9</v>
      </c>
      <c r="B61" s="7" t="s">
        <v>76</v>
      </c>
      <c r="C61" s="7" t="s">
        <v>164</v>
      </c>
      <c r="D61" s="26" t="s">
        <v>165</v>
      </c>
      <c r="E61" s="26" t="s">
        <v>44</v>
      </c>
      <c r="F61" s="27">
        <v>4.1597222222222223E-2</v>
      </c>
      <c r="G61" s="27">
        <f t="shared" si="10"/>
        <v>4.1597222222222223E-2</v>
      </c>
      <c r="H61" s="8"/>
      <c r="I61" s="8"/>
      <c r="J61" s="28"/>
    </row>
    <row r="62" spans="1:10" x14ac:dyDescent="0.25">
      <c r="A62" s="11"/>
      <c r="B62" s="7"/>
      <c r="C62" s="7" t="s">
        <v>173</v>
      </c>
      <c r="D62" s="26" t="s">
        <v>166</v>
      </c>
      <c r="E62" s="26" t="s">
        <v>44</v>
      </c>
      <c r="F62" s="27">
        <v>5.1192129629629629E-2</v>
      </c>
      <c r="G62" s="27">
        <f t="shared" si="11"/>
        <v>9.2789351851851859E-2</v>
      </c>
      <c r="H62" s="8"/>
      <c r="I62" s="8"/>
      <c r="J62" s="28"/>
    </row>
    <row r="63" spans="1:10" x14ac:dyDescent="0.25">
      <c r="A63" s="11"/>
      <c r="B63" s="7"/>
      <c r="C63" s="7" t="s">
        <v>174</v>
      </c>
      <c r="D63" s="26" t="s">
        <v>167</v>
      </c>
      <c r="E63" s="26" t="s">
        <v>44</v>
      </c>
      <c r="F63" s="27">
        <v>4.6030092592592588E-2</v>
      </c>
      <c r="G63" s="27">
        <f t="shared" si="11"/>
        <v>0.13881944444444444</v>
      </c>
      <c r="H63" s="8"/>
      <c r="I63" s="8"/>
      <c r="J63" s="28"/>
    </row>
    <row r="64" spans="1:10" ht="13.8" thickBot="1" x14ac:dyDescent="0.3">
      <c r="A64" s="12"/>
      <c r="B64" s="13"/>
      <c r="C64" s="13" t="s">
        <v>168</v>
      </c>
      <c r="D64" s="31" t="s">
        <v>169</v>
      </c>
      <c r="E64" s="31" t="s">
        <v>44</v>
      </c>
      <c r="F64" s="37">
        <v>5.3576388888888889E-2</v>
      </c>
      <c r="G64" s="37">
        <f t="shared" si="11"/>
        <v>0.19239583333333332</v>
      </c>
      <c r="H64" s="14">
        <v>9</v>
      </c>
      <c r="I64" s="14">
        <v>9</v>
      </c>
      <c r="J64" s="32"/>
    </row>
    <row r="65" spans="2:9" x14ac:dyDescent="0.25">
      <c r="H65" s="2"/>
      <c r="I65" s="2"/>
    </row>
    <row r="66" spans="2:9" x14ac:dyDescent="0.25">
      <c r="B66" s="1" t="s">
        <v>85</v>
      </c>
      <c r="H66" s="2"/>
      <c r="I66" s="2"/>
    </row>
    <row r="67" spans="2:9" x14ac:dyDescent="0.25">
      <c r="B67" s="1" t="s">
        <v>175</v>
      </c>
      <c r="H67" s="2"/>
      <c r="I67" s="2"/>
    </row>
    <row r="68" spans="2:9" x14ac:dyDescent="0.25">
      <c r="B68" s="1" t="s">
        <v>176</v>
      </c>
    </row>
    <row r="70" spans="2:9" x14ac:dyDescent="0.25">
      <c r="B70" s="1" t="s">
        <v>89</v>
      </c>
      <c r="C70" s="1" t="s">
        <v>90</v>
      </c>
    </row>
    <row r="71" spans="2:9" x14ac:dyDescent="0.25">
      <c r="B71" s="1" t="s">
        <v>86</v>
      </c>
      <c r="C71" s="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opLeftCell="A23" workbookViewId="0">
      <selection activeCell="C21" sqref="C21:C49"/>
    </sheetView>
  </sheetViews>
  <sheetFormatPr defaultRowHeight="13.2" x14ac:dyDescent="0.25"/>
  <cols>
    <col min="1" max="1" width="8.109375" style="1" customWidth="1"/>
    <col min="2" max="2" width="18" style="1" customWidth="1"/>
    <col min="3" max="3" width="20.77734375" style="1" customWidth="1"/>
    <col min="4" max="4" width="11.109375" style="17" customWidth="1"/>
    <col min="5" max="5" width="14.33203125" style="17" customWidth="1"/>
    <col min="6" max="6" width="12.33203125" style="17"/>
    <col min="7" max="7" width="13.21875" style="17" customWidth="1"/>
    <col min="8" max="9" width="8.6640625" style="17" customWidth="1"/>
    <col min="10" max="10" width="14.33203125" style="17" customWidth="1"/>
    <col min="11" max="16384" width="8.88671875" style="1"/>
  </cols>
  <sheetData>
    <row r="1" spans="1:10" x14ac:dyDescent="0.25">
      <c r="A1" s="1" t="s">
        <v>0</v>
      </c>
      <c r="D1" s="2"/>
      <c r="E1" s="2"/>
      <c r="F1" s="2"/>
      <c r="G1" s="2"/>
      <c r="H1" s="2"/>
      <c r="I1" s="2"/>
      <c r="J1" s="2"/>
    </row>
    <row r="2" spans="1:10" x14ac:dyDescent="0.25">
      <c r="A2" s="1" t="s">
        <v>1</v>
      </c>
      <c r="D2" s="2"/>
      <c r="E2" s="2"/>
      <c r="F2" s="2"/>
      <c r="G2" s="2"/>
      <c r="H2" s="2"/>
      <c r="I2" s="2"/>
      <c r="J2" s="2"/>
    </row>
    <row r="3" spans="1:10" x14ac:dyDescent="0.25">
      <c r="D3" s="2"/>
      <c r="E3" s="2"/>
      <c r="F3" s="2"/>
      <c r="G3" s="2"/>
      <c r="H3" s="2"/>
      <c r="I3" s="2"/>
      <c r="J3" s="2"/>
    </row>
    <row r="4" spans="1:10" x14ac:dyDescent="0.25">
      <c r="A4" s="1" t="s">
        <v>21</v>
      </c>
      <c r="D4" s="2"/>
      <c r="E4" s="2"/>
      <c r="F4" s="2"/>
      <c r="G4" s="2"/>
      <c r="H4" s="2"/>
      <c r="I4" s="2"/>
      <c r="J4" s="2"/>
    </row>
    <row r="5" spans="1:10" x14ac:dyDescent="0.25">
      <c r="A5" s="1" t="s">
        <v>22</v>
      </c>
      <c r="D5" s="2"/>
      <c r="E5" s="2"/>
      <c r="F5" s="2"/>
      <c r="G5" s="2"/>
      <c r="H5" s="2"/>
      <c r="I5" s="2"/>
      <c r="J5" s="2"/>
    </row>
    <row r="6" spans="1:10" x14ac:dyDescent="0.25">
      <c r="D6" s="2"/>
      <c r="E6" s="2"/>
      <c r="F6" s="2"/>
      <c r="G6" s="2"/>
      <c r="H6" s="2"/>
      <c r="I6" s="2"/>
      <c r="J6" s="2"/>
    </row>
    <row r="7" spans="1:10" x14ac:dyDescent="0.25">
      <c r="A7" s="1" t="s">
        <v>2</v>
      </c>
      <c r="D7" s="2"/>
      <c r="E7" s="2"/>
      <c r="F7" s="2"/>
      <c r="G7" s="2"/>
      <c r="H7" s="2"/>
      <c r="I7" s="2"/>
      <c r="J7" s="2"/>
    </row>
    <row r="8" spans="1:10" x14ac:dyDescent="0.25">
      <c r="A8" s="1" t="s">
        <v>3</v>
      </c>
      <c r="D8" s="2"/>
      <c r="E8" s="2"/>
      <c r="F8" s="2"/>
      <c r="G8" s="2"/>
      <c r="H8" s="2"/>
      <c r="I8" s="2"/>
      <c r="J8" s="2"/>
    </row>
    <row r="9" spans="1:10" x14ac:dyDescent="0.25">
      <c r="D9" s="2"/>
      <c r="E9" s="2"/>
      <c r="F9" s="2"/>
      <c r="G9" s="2"/>
      <c r="H9" s="2"/>
      <c r="I9" s="2"/>
      <c r="J9" s="2"/>
    </row>
    <row r="10" spans="1:10" x14ac:dyDescent="0.25">
      <c r="A10" s="1" t="s">
        <v>185</v>
      </c>
      <c r="D10" s="2"/>
      <c r="E10" s="2"/>
      <c r="F10" s="2"/>
      <c r="G10" s="2"/>
      <c r="H10" s="2"/>
      <c r="I10" s="2"/>
      <c r="J10" s="2"/>
    </row>
    <row r="11" spans="1:10" x14ac:dyDescent="0.25">
      <c r="A11" s="1" t="s">
        <v>186</v>
      </c>
      <c r="D11" s="2"/>
      <c r="E11" s="2"/>
      <c r="F11" s="2"/>
      <c r="G11" s="2"/>
      <c r="H11" s="2"/>
      <c r="I11" s="2"/>
      <c r="J11" s="2"/>
    </row>
    <row r="12" spans="1:10" x14ac:dyDescent="0.25">
      <c r="A12" s="1" t="s">
        <v>25</v>
      </c>
      <c r="D12" s="2"/>
      <c r="E12" s="2"/>
      <c r="F12" s="2"/>
      <c r="G12" s="2"/>
      <c r="H12" s="2"/>
      <c r="I12" s="2"/>
      <c r="J12" s="2"/>
    </row>
    <row r="13" spans="1:10" x14ac:dyDescent="0.25">
      <c r="D13" s="2"/>
      <c r="E13" s="2"/>
      <c r="F13" s="2"/>
      <c r="G13" s="2"/>
      <c r="H13" s="2"/>
      <c r="I13" s="2"/>
      <c r="J13" s="2"/>
    </row>
    <row r="14" spans="1:10" x14ac:dyDescent="0.25">
      <c r="A14" s="1" t="s">
        <v>26</v>
      </c>
      <c r="D14" s="2"/>
      <c r="E14" s="2"/>
      <c r="F14" s="2"/>
      <c r="G14" s="2"/>
      <c r="H14" s="2"/>
      <c r="I14" s="2"/>
      <c r="J14" s="2"/>
    </row>
    <row r="15" spans="1:10" x14ac:dyDescent="0.25">
      <c r="A15" s="1" t="s">
        <v>134</v>
      </c>
      <c r="D15" s="2"/>
      <c r="E15" s="2"/>
      <c r="F15" s="2"/>
      <c r="G15" s="2"/>
      <c r="H15" s="2"/>
      <c r="I15" s="2"/>
      <c r="J15" s="2"/>
    </row>
    <row r="16" spans="1:10" x14ac:dyDescent="0.25">
      <c r="D16" s="2"/>
      <c r="E16" s="2"/>
      <c r="F16" s="2"/>
      <c r="G16" s="2"/>
      <c r="H16" s="2"/>
      <c r="I16" s="2"/>
      <c r="J16" s="2"/>
    </row>
    <row r="17" spans="1:10" x14ac:dyDescent="0.25">
      <c r="A17" s="1" t="s">
        <v>187</v>
      </c>
      <c r="D17" s="2"/>
      <c r="E17" s="2"/>
      <c r="F17" s="2"/>
      <c r="G17" s="2"/>
      <c r="H17" s="2"/>
      <c r="I17" s="2"/>
      <c r="J17" s="2"/>
    </row>
    <row r="18" spans="1:10" x14ac:dyDescent="0.25">
      <c r="D18" s="2"/>
      <c r="E18" s="2"/>
      <c r="F18" s="2"/>
      <c r="G18" s="2"/>
      <c r="H18" s="2"/>
      <c r="I18" s="2"/>
      <c r="J18" s="2"/>
    </row>
    <row r="19" spans="1:10" ht="13.8" thickBot="1" x14ac:dyDescent="0.3">
      <c r="D19" s="2"/>
      <c r="E19" s="2"/>
      <c r="F19" s="2"/>
      <c r="G19" s="2"/>
      <c r="H19" s="2"/>
      <c r="I19" s="2"/>
      <c r="J19" s="2"/>
    </row>
    <row r="20" spans="1:10" ht="27" thickBot="1" x14ac:dyDescent="0.3">
      <c r="A20" s="33" t="s">
        <v>29</v>
      </c>
      <c r="B20" s="34" t="s">
        <v>30</v>
      </c>
      <c r="C20" s="34" t="s">
        <v>31</v>
      </c>
      <c r="D20" s="34" t="s">
        <v>32</v>
      </c>
      <c r="E20" s="34" t="s">
        <v>33</v>
      </c>
      <c r="F20" s="34" t="s">
        <v>34</v>
      </c>
      <c r="G20" s="34" t="s">
        <v>35</v>
      </c>
      <c r="H20" s="34" t="s">
        <v>36</v>
      </c>
      <c r="I20" s="34" t="s">
        <v>37</v>
      </c>
      <c r="J20" s="35" t="s">
        <v>38</v>
      </c>
    </row>
    <row r="21" spans="1:10" x14ac:dyDescent="0.25">
      <c r="A21" s="21">
        <v>1</v>
      </c>
      <c r="B21" s="22" t="s">
        <v>111</v>
      </c>
      <c r="C21" s="22" t="s">
        <v>190</v>
      </c>
      <c r="D21" s="23">
        <v>107</v>
      </c>
      <c r="E21" s="23" t="s">
        <v>44</v>
      </c>
      <c r="F21" s="24">
        <v>2.0902777777777781E-2</v>
      </c>
      <c r="G21" s="24">
        <f>F21</f>
        <v>2.0902777777777781E-2</v>
      </c>
      <c r="H21" s="23"/>
      <c r="I21" s="23"/>
      <c r="J21" s="25" t="s">
        <v>45</v>
      </c>
    </row>
    <row r="22" spans="1:10" x14ac:dyDescent="0.25">
      <c r="A22" s="6"/>
      <c r="B22" s="7"/>
      <c r="C22" s="7" t="s">
        <v>177</v>
      </c>
      <c r="D22" s="26">
        <v>117</v>
      </c>
      <c r="E22" s="26" t="s">
        <v>45</v>
      </c>
      <c r="F22" s="27">
        <v>2.0497685185185185E-2</v>
      </c>
      <c r="G22" s="27">
        <f>F22+F21</f>
        <v>4.1400462962962965E-2</v>
      </c>
      <c r="H22" s="26" t="s">
        <v>120</v>
      </c>
      <c r="I22" s="26"/>
      <c r="J22" s="28" t="s">
        <v>45</v>
      </c>
    </row>
    <row r="23" spans="1:10" x14ac:dyDescent="0.25">
      <c r="A23" s="6"/>
      <c r="B23" s="7"/>
      <c r="C23" s="7"/>
      <c r="D23" s="26"/>
      <c r="E23" s="26"/>
      <c r="F23" s="26"/>
      <c r="G23" s="26"/>
      <c r="H23" s="26"/>
      <c r="I23" s="26"/>
      <c r="J23" s="28"/>
    </row>
    <row r="24" spans="1:10" x14ac:dyDescent="0.25">
      <c r="A24" s="6">
        <v>2</v>
      </c>
      <c r="B24" s="7" t="s">
        <v>113</v>
      </c>
      <c r="C24" s="7" t="s">
        <v>178</v>
      </c>
      <c r="D24" s="26">
        <v>101</v>
      </c>
      <c r="E24" s="26" t="s">
        <v>45</v>
      </c>
      <c r="F24" s="27">
        <v>2.4745370370370372E-2</v>
      </c>
      <c r="G24" s="27">
        <f t="shared" ref="G24" si="0">F24</f>
        <v>2.4745370370370372E-2</v>
      </c>
      <c r="H24" s="26"/>
      <c r="I24" s="26"/>
      <c r="J24" s="28"/>
    </row>
    <row r="25" spans="1:10" x14ac:dyDescent="0.25">
      <c r="A25" s="11"/>
      <c r="B25" s="7"/>
      <c r="C25" s="7" t="s">
        <v>191</v>
      </c>
      <c r="D25" s="26">
        <v>111</v>
      </c>
      <c r="E25" s="26" t="s">
        <v>45</v>
      </c>
      <c r="F25" s="27">
        <v>2.164351851851852E-2</v>
      </c>
      <c r="G25" s="27">
        <f t="shared" ref="G25" si="1">F25+F24</f>
        <v>4.6388888888888896E-2</v>
      </c>
      <c r="H25" s="26">
        <v>1</v>
      </c>
      <c r="I25" s="26">
        <v>1</v>
      </c>
      <c r="J25" s="28"/>
    </row>
    <row r="26" spans="1:10" x14ac:dyDescent="0.25">
      <c r="A26" s="11"/>
      <c r="B26" s="7"/>
      <c r="C26" s="7"/>
      <c r="D26" s="26"/>
      <c r="E26" s="26"/>
      <c r="F26" s="26"/>
      <c r="G26" s="26"/>
      <c r="H26" s="26"/>
      <c r="I26" s="26"/>
      <c r="J26" s="28"/>
    </row>
    <row r="27" spans="1:10" x14ac:dyDescent="0.25">
      <c r="A27" s="6">
        <v>3</v>
      </c>
      <c r="B27" s="7" t="s">
        <v>188</v>
      </c>
      <c r="C27" s="7" t="s">
        <v>193</v>
      </c>
      <c r="D27" s="26">
        <v>100</v>
      </c>
      <c r="E27" s="26" t="s">
        <v>45</v>
      </c>
      <c r="F27" s="27">
        <v>2.8020833333333332E-2</v>
      </c>
      <c r="G27" s="27">
        <f t="shared" ref="G27" si="2">F27</f>
        <v>2.8020833333333332E-2</v>
      </c>
      <c r="H27" s="26"/>
      <c r="I27" s="26"/>
      <c r="J27" s="28"/>
    </row>
    <row r="28" spans="1:10" x14ac:dyDescent="0.25">
      <c r="A28" s="6"/>
      <c r="B28" s="7"/>
      <c r="C28" s="7" t="s">
        <v>192</v>
      </c>
      <c r="D28" s="26">
        <v>110</v>
      </c>
      <c r="E28" s="26" t="s">
        <v>44</v>
      </c>
      <c r="F28" s="27">
        <v>2.4270833333333335E-2</v>
      </c>
      <c r="G28" s="27">
        <f t="shared" ref="G28" si="3">F28+F27</f>
        <v>5.2291666666666667E-2</v>
      </c>
      <c r="H28" s="26" t="s">
        <v>120</v>
      </c>
      <c r="I28" s="26"/>
      <c r="J28" s="28"/>
    </row>
    <row r="29" spans="1:10" x14ac:dyDescent="0.25">
      <c r="A29" s="6"/>
      <c r="B29" s="7"/>
      <c r="C29" s="7"/>
      <c r="D29" s="26"/>
      <c r="E29" s="26"/>
      <c r="F29" s="26"/>
      <c r="G29" s="26"/>
      <c r="H29" s="26"/>
      <c r="I29" s="26"/>
      <c r="J29" s="28"/>
    </row>
    <row r="30" spans="1:10" x14ac:dyDescent="0.25">
      <c r="A30" s="6">
        <v>4</v>
      </c>
      <c r="B30" s="7" t="s">
        <v>189</v>
      </c>
      <c r="C30" s="7" t="s">
        <v>194</v>
      </c>
      <c r="D30" s="26">
        <v>109</v>
      </c>
      <c r="E30" s="26" t="s">
        <v>45</v>
      </c>
      <c r="F30" s="27">
        <v>2.2372685185185186E-2</v>
      </c>
      <c r="G30" s="27">
        <f t="shared" ref="G30" si="4">F30</f>
        <v>2.2372685185185186E-2</v>
      </c>
      <c r="H30" s="26"/>
      <c r="I30" s="26"/>
      <c r="J30" s="28"/>
    </row>
    <row r="31" spans="1:10" x14ac:dyDescent="0.25">
      <c r="A31" s="11"/>
      <c r="B31" s="7"/>
      <c r="C31" s="7" t="s">
        <v>179</v>
      </c>
      <c r="D31" s="26">
        <v>119</v>
      </c>
      <c r="E31" s="26" t="s">
        <v>45</v>
      </c>
      <c r="F31" s="27">
        <v>3.2974537037037038E-2</v>
      </c>
      <c r="G31" s="27">
        <f t="shared" ref="G31" si="5">F31+F30</f>
        <v>5.5347222222222228E-2</v>
      </c>
      <c r="H31" s="26" t="s">
        <v>120</v>
      </c>
      <c r="I31" s="26"/>
      <c r="J31" s="28"/>
    </row>
    <row r="32" spans="1:10" x14ac:dyDescent="0.25">
      <c r="A32" s="11"/>
      <c r="B32" s="7"/>
      <c r="C32" s="7"/>
      <c r="D32" s="26"/>
      <c r="E32" s="26"/>
      <c r="F32" s="26"/>
      <c r="G32" s="26"/>
      <c r="H32" s="26"/>
      <c r="I32" s="26"/>
      <c r="J32" s="28"/>
    </row>
    <row r="33" spans="1:10" x14ac:dyDescent="0.25">
      <c r="A33" s="6">
        <v>5</v>
      </c>
      <c r="B33" s="7" t="s">
        <v>116</v>
      </c>
      <c r="C33" s="7" t="s">
        <v>195</v>
      </c>
      <c r="D33" s="26">
        <v>102</v>
      </c>
      <c r="E33" s="26" t="s">
        <v>45</v>
      </c>
      <c r="F33" s="27">
        <v>2.4398148148148145E-2</v>
      </c>
      <c r="G33" s="27">
        <f t="shared" ref="G33" si="6">F33</f>
        <v>2.4398148148148145E-2</v>
      </c>
      <c r="H33" s="26"/>
      <c r="I33" s="26"/>
      <c r="J33" s="28"/>
    </row>
    <row r="34" spans="1:10" x14ac:dyDescent="0.25">
      <c r="A34" s="6"/>
      <c r="B34" s="7"/>
      <c r="C34" s="7" t="s">
        <v>180</v>
      </c>
      <c r="D34" s="26">
        <v>112</v>
      </c>
      <c r="E34" s="26" t="s">
        <v>45</v>
      </c>
      <c r="F34" s="27">
        <v>3.5254629629629629E-2</v>
      </c>
      <c r="G34" s="27">
        <f t="shared" ref="G34" si="7">F34+F33</f>
        <v>5.9652777777777777E-2</v>
      </c>
      <c r="H34" s="26">
        <v>2</v>
      </c>
      <c r="I34" s="26">
        <v>2</v>
      </c>
      <c r="J34" s="28"/>
    </row>
    <row r="35" spans="1:10" x14ac:dyDescent="0.25">
      <c r="A35" s="6"/>
      <c r="B35" s="7"/>
      <c r="C35" s="7"/>
      <c r="D35" s="26"/>
      <c r="E35" s="26"/>
      <c r="F35" s="26"/>
      <c r="G35" s="26"/>
      <c r="H35" s="26"/>
      <c r="I35" s="26"/>
      <c r="J35" s="28"/>
    </row>
    <row r="36" spans="1:10" x14ac:dyDescent="0.25">
      <c r="A36" s="6">
        <v>6</v>
      </c>
      <c r="B36" s="7" t="s">
        <v>112</v>
      </c>
      <c r="C36" s="7" t="s">
        <v>196</v>
      </c>
      <c r="D36" s="26">
        <v>108</v>
      </c>
      <c r="E36" s="26" t="s">
        <v>45</v>
      </c>
      <c r="F36" s="27">
        <v>2.4363425925925927E-2</v>
      </c>
      <c r="G36" s="27">
        <f t="shared" ref="G36" si="8">F36</f>
        <v>2.4363425925925927E-2</v>
      </c>
      <c r="H36" s="26"/>
      <c r="I36" s="26"/>
      <c r="J36" s="28"/>
    </row>
    <row r="37" spans="1:10" x14ac:dyDescent="0.25">
      <c r="A37" s="11"/>
      <c r="B37" s="7"/>
      <c r="C37" s="7" t="s">
        <v>197</v>
      </c>
      <c r="D37" s="26">
        <v>118</v>
      </c>
      <c r="E37" s="26" t="s">
        <v>45</v>
      </c>
      <c r="F37" s="27">
        <v>3.7685185185185183E-2</v>
      </c>
      <c r="G37" s="27">
        <f t="shared" ref="G37" si="9">F37+F36</f>
        <v>6.204861111111111E-2</v>
      </c>
      <c r="H37" s="26" t="s">
        <v>120</v>
      </c>
      <c r="I37" s="26"/>
      <c r="J37" s="28"/>
    </row>
    <row r="38" spans="1:10" x14ac:dyDescent="0.25">
      <c r="A38" s="11"/>
      <c r="B38" s="7"/>
      <c r="C38" s="7"/>
      <c r="D38" s="26"/>
      <c r="E38" s="26"/>
      <c r="F38" s="26"/>
      <c r="G38" s="26"/>
      <c r="H38" s="26"/>
      <c r="I38" s="26"/>
      <c r="J38" s="28"/>
    </row>
    <row r="39" spans="1:10" x14ac:dyDescent="0.25">
      <c r="A39" s="6">
        <v>7</v>
      </c>
      <c r="B39" s="7" t="s">
        <v>114</v>
      </c>
      <c r="C39" s="7" t="s">
        <v>181</v>
      </c>
      <c r="D39" s="26">
        <v>103</v>
      </c>
      <c r="E39" s="26" t="s">
        <v>45</v>
      </c>
      <c r="F39" s="27">
        <v>3.9687500000000001E-2</v>
      </c>
      <c r="G39" s="27">
        <f t="shared" ref="G39" si="10">F39</f>
        <v>3.9687500000000001E-2</v>
      </c>
      <c r="H39" s="26"/>
      <c r="I39" s="26"/>
      <c r="J39" s="28"/>
    </row>
    <row r="40" spans="1:10" x14ac:dyDescent="0.25">
      <c r="A40" s="6"/>
      <c r="B40" s="7"/>
      <c r="C40" s="7" t="s">
        <v>198</v>
      </c>
      <c r="D40" s="26">
        <v>113</v>
      </c>
      <c r="E40" s="26" t="s">
        <v>45</v>
      </c>
      <c r="F40" s="27">
        <v>2.4189814814814817E-2</v>
      </c>
      <c r="G40" s="27">
        <f t="shared" ref="G40" si="11">F40+F39</f>
        <v>6.3877314814814817E-2</v>
      </c>
      <c r="H40" s="26">
        <v>3</v>
      </c>
      <c r="I40" s="26">
        <v>3</v>
      </c>
      <c r="J40" s="28"/>
    </row>
    <row r="41" spans="1:10" x14ac:dyDescent="0.25">
      <c r="A41" s="6"/>
      <c r="B41" s="7"/>
      <c r="C41" s="7"/>
      <c r="D41" s="26"/>
      <c r="E41" s="26"/>
      <c r="F41" s="26"/>
      <c r="G41" s="26"/>
      <c r="H41" s="26"/>
      <c r="I41" s="26"/>
      <c r="J41" s="28"/>
    </row>
    <row r="42" spans="1:10" x14ac:dyDescent="0.25">
      <c r="A42" s="6">
        <v>8</v>
      </c>
      <c r="B42" s="7" t="s">
        <v>115</v>
      </c>
      <c r="C42" s="7" t="s">
        <v>199</v>
      </c>
      <c r="D42" s="26">
        <v>105</v>
      </c>
      <c r="E42" s="26" t="s">
        <v>45</v>
      </c>
      <c r="F42" s="27">
        <v>4.1030092592592597E-2</v>
      </c>
      <c r="G42" s="27">
        <f t="shared" ref="G42" si="12">F42</f>
        <v>4.1030092592592597E-2</v>
      </c>
      <c r="H42" s="26"/>
      <c r="I42" s="26"/>
      <c r="J42" s="28"/>
    </row>
    <row r="43" spans="1:10" x14ac:dyDescent="0.25">
      <c r="A43" s="11"/>
      <c r="B43" s="7"/>
      <c r="C43" s="7" t="s">
        <v>182</v>
      </c>
      <c r="D43" s="26">
        <v>115</v>
      </c>
      <c r="E43" s="26" t="s">
        <v>45</v>
      </c>
      <c r="F43" s="27">
        <v>4.4432870370370366E-2</v>
      </c>
      <c r="G43" s="27">
        <f t="shared" ref="G43" si="13">F43+F42</f>
        <v>8.5462962962962963E-2</v>
      </c>
      <c r="H43" s="26">
        <v>4</v>
      </c>
      <c r="I43" s="26">
        <v>4</v>
      </c>
      <c r="J43" s="28"/>
    </row>
    <row r="44" spans="1:10" x14ac:dyDescent="0.25">
      <c r="A44" s="11"/>
      <c r="B44" s="7"/>
      <c r="C44" s="7"/>
      <c r="D44" s="26"/>
      <c r="E44" s="26"/>
      <c r="F44" s="26"/>
      <c r="G44" s="26"/>
      <c r="H44" s="26"/>
      <c r="I44" s="26"/>
      <c r="J44" s="28"/>
    </row>
    <row r="45" spans="1:10" x14ac:dyDescent="0.25">
      <c r="A45" s="6">
        <v>9</v>
      </c>
      <c r="B45" s="7" t="s">
        <v>117</v>
      </c>
      <c r="C45" s="7" t="s">
        <v>183</v>
      </c>
      <c r="D45" s="26">
        <v>104</v>
      </c>
      <c r="E45" s="26" t="s">
        <v>45</v>
      </c>
      <c r="F45" s="27">
        <v>4.0509259259259259E-2</v>
      </c>
      <c r="G45" s="27">
        <f t="shared" ref="G45" si="14">F45</f>
        <v>4.0509259259259259E-2</v>
      </c>
      <c r="H45" s="26"/>
      <c r="I45" s="26"/>
      <c r="J45" s="28"/>
    </row>
    <row r="46" spans="1:10" x14ac:dyDescent="0.25">
      <c r="A46" s="6"/>
      <c r="B46" s="7"/>
      <c r="C46" s="7" t="s">
        <v>184</v>
      </c>
      <c r="D46" s="26">
        <v>114</v>
      </c>
      <c r="E46" s="26" t="s">
        <v>45</v>
      </c>
      <c r="F46" s="27">
        <v>6.0011574074074071E-2</v>
      </c>
      <c r="G46" s="27">
        <f t="shared" ref="G46" si="15">F46+F45</f>
        <v>0.10052083333333334</v>
      </c>
      <c r="H46" s="26">
        <v>5</v>
      </c>
      <c r="I46" s="26">
        <v>5</v>
      </c>
      <c r="J46" s="28"/>
    </row>
    <row r="47" spans="1:10" x14ac:dyDescent="0.25">
      <c r="A47" s="6"/>
      <c r="B47" s="7"/>
      <c r="C47" s="7"/>
      <c r="D47" s="26"/>
      <c r="E47" s="26"/>
      <c r="F47" s="26"/>
      <c r="G47" s="26"/>
      <c r="H47" s="26"/>
      <c r="I47" s="26"/>
      <c r="J47" s="28"/>
    </row>
    <row r="48" spans="1:10" x14ac:dyDescent="0.25">
      <c r="A48" s="6">
        <v>10</v>
      </c>
      <c r="B48" s="7" t="s">
        <v>118</v>
      </c>
      <c r="C48" s="7" t="s">
        <v>200</v>
      </c>
      <c r="D48" s="26">
        <v>106</v>
      </c>
      <c r="E48" s="26" t="s">
        <v>45</v>
      </c>
      <c r="F48" s="27">
        <v>2.4201388888888887E-2</v>
      </c>
      <c r="G48" s="27">
        <f t="shared" ref="G48" si="16">F48</f>
        <v>2.4201388888888887E-2</v>
      </c>
      <c r="H48" s="26"/>
      <c r="I48" s="26"/>
      <c r="J48" s="28"/>
    </row>
    <row r="49" spans="1:10" ht="13.8" thickBot="1" x14ac:dyDescent="0.3">
      <c r="A49" s="12"/>
      <c r="B49" s="13"/>
      <c r="C49" s="13" t="s">
        <v>201</v>
      </c>
      <c r="D49" s="31">
        <v>116</v>
      </c>
      <c r="E49" s="31" t="s">
        <v>45</v>
      </c>
      <c r="F49" s="37">
        <v>0.10488425925925926</v>
      </c>
      <c r="G49" s="37">
        <f t="shared" ref="G49" si="17">F49+F48</f>
        <v>0.12908564814814816</v>
      </c>
      <c r="H49" s="31">
        <v>6</v>
      </c>
      <c r="I49" s="31">
        <v>6</v>
      </c>
      <c r="J49" s="32"/>
    </row>
    <row r="51" spans="1:10" x14ac:dyDescent="0.25">
      <c r="B51" s="1" t="s">
        <v>85</v>
      </c>
    </row>
    <row r="52" spans="1:10" x14ac:dyDescent="0.25">
      <c r="B52" s="1" t="s">
        <v>202</v>
      </c>
    </row>
    <row r="53" spans="1:10" x14ac:dyDescent="0.25">
      <c r="B53" s="1" t="s">
        <v>203</v>
      </c>
    </row>
    <row r="55" spans="1:10" x14ac:dyDescent="0.25">
      <c r="B55" s="1" t="s">
        <v>89</v>
      </c>
      <c r="C55" s="1" t="s">
        <v>90</v>
      </c>
    </row>
    <row r="56" spans="1:10" x14ac:dyDescent="0.25">
      <c r="B56" s="1" t="s">
        <v>86</v>
      </c>
      <c r="C56" s="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20" workbookViewId="0">
      <selection activeCell="E21" sqref="E21:E48"/>
    </sheetView>
  </sheetViews>
  <sheetFormatPr defaultRowHeight="13.2" x14ac:dyDescent="0.25"/>
  <cols>
    <col min="1" max="1" width="6.44140625" customWidth="1"/>
    <col min="2" max="2" width="24.33203125" customWidth="1"/>
    <col min="3" max="3" width="19.5546875" customWidth="1"/>
    <col min="4" max="4" width="12.44140625" customWidth="1"/>
    <col min="5" max="5" width="16.77734375" style="38"/>
    <col min="6" max="6" width="12.33203125"/>
    <col min="7" max="7" width="9.77734375" style="38" customWidth="1"/>
    <col min="8" max="8" width="15.33203125" style="38"/>
  </cols>
  <sheetData>
    <row r="1" spans="1:8" x14ac:dyDescent="0.25">
      <c r="A1" s="1" t="s">
        <v>0</v>
      </c>
      <c r="B1" s="1"/>
      <c r="C1" s="1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2"/>
      <c r="E2" s="2"/>
      <c r="F2" s="2"/>
      <c r="G2" s="2"/>
      <c r="H2" s="2"/>
    </row>
    <row r="3" spans="1:8" x14ac:dyDescent="0.25">
      <c r="A3" s="1"/>
      <c r="B3" s="1"/>
      <c r="C3" s="1"/>
      <c r="D3" s="2"/>
      <c r="E3" s="2"/>
      <c r="F3" s="2"/>
      <c r="G3" s="2"/>
      <c r="H3" s="2"/>
    </row>
    <row r="4" spans="1:8" x14ac:dyDescent="0.25">
      <c r="A4" s="1" t="s">
        <v>21</v>
      </c>
      <c r="B4" s="1"/>
      <c r="C4" s="1"/>
      <c r="D4" s="2"/>
      <c r="E4" s="2"/>
      <c r="F4" s="2"/>
      <c r="G4" s="2"/>
      <c r="H4" s="2"/>
    </row>
    <row r="5" spans="1:8" x14ac:dyDescent="0.25">
      <c r="A5" s="1" t="s">
        <v>22</v>
      </c>
      <c r="B5" s="1"/>
      <c r="C5" s="1"/>
      <c r="D5" s="2"/>
      <c r="E5" s="2"/>
      <c r="F5" s="2"/>
      <c r="G5" s="2"/>
      <c r="H5" s="2"/>
    </row>
    <row r="6" spans="1:8" x14ac:dyDescent="0.25">
      <c r="A6" s="1"/>
      <c r="B6" s="1"/>
      <c r="C6" s="1"/>
      <c r="D6" s="2"/>
      <c r="E6" s="2"/>
      <c r="F6" s="2"/>
      <c r="G6" s="2"/>
      <c r="H6" s="2"/>
    </row>
    <row r="7" spans="1:8" x14ac:dyDescent="0.25">
      <c r="A7" s="1" t="s">
        <v>2</v>
      </c>
      <c r="B7" s="1"/>
      <c r="C7" s="1"/>
      <c r="D7" s="2"/>
      <c r="E7" s="2"/>
      <c r="F7" s="2"/>
      <c r="G7" s="2"/>
      <c r="H7" s="2"/>
    </row>
    <row r="8" spans="1:8" x14ac:dyDescent="0.25">
      <c r="A8" s="1" t="s">
        <v>204</v>
      </c>
      <c r="B8" s="1"/>
      <c r="C8" s="1"/>
      <c r="D8" s="2"/>
      <c r="E8" s="2"/>
      <c r="F8" s="2"/>
      <c r="G8" s="2"/>
      <c r="H8" s="2"/>
    </row>
    <row r="9" spans="1:8" x14ac:dyDescent="0.25">
      <c r="A9" s="1"/>
      <c r="B9" s="1"/>
      <c r="C9" s="1"/>
      <c r="D9" s="2"/>
      <c r="E9" s="2"/>
      <c r="F9" s="2"/>
      <c r="G9" s="2"/>
      <c r="H9" s="2"/>
    </row>
    <row r="10" spans="1:8" x14ac:dyDescent="0.25">
      <c r="A10" s="1" t="s">
        <v>217</v>
      </c>
      <c r="B10" s="1"/>
      <c r="C10" s="1"/>
      <c r="D10" s="2"/>
      <c r="E10" s="2"/>
      <c r="F10" s="2"/>
      <c r="G10" s="2"/>
      <c r="H10" s="2"/>
    </row>
    <row r="11" spans="1:8" x14ac:dyDescent="0.25">
      <c r="A11" s="1" t="s">
        <v>218</v>
      </c>
      <c r="B11" s="1"/>
      <c r="C11" s="1"/>
      <c r="D11" s="2"/>
      <c r="E11" s="2"/>
      <c r="F11" s="2"/>
      <c r="G11" s="2"/>
      <c r="H11" s="2"/>
    </row>
    <row r="12" spans="1:8" x14ac:dyDescent="0.25">
      <c r="A12" s="1" t="s">
        <v>219</v>
      </c>
      <c r="B12" s="1"/>
      <c r="C12" s="1"/>
      <c r="D12" s="2"/>
      <c r="E12" s="2"/>
      <c r="F12" s="2"/>
      <c r="G12" s="2"/>
      <c r="H12" s="2"/>
    </row>
    <row r="13" spans="1:8" x14ac:dyDescent="0.25">
      <c r="A13" s="1"/>
      <c r="B13" s="1"/>
      <c r="C13" s="1"/>
      <c r="D13" s="2"/>
      <c r="E13" s="2"/>
      <c r="F13" s="2"/>
      <c r="G13" s="2"/>
      <c r="H13" s="2"/>
    </row>
    <row r="14" spans="1:8" x14ac:dyDescent="0.25">
      <c r="A14" s="1" t="s">
        <v>220</v>
      </c>
      <c r="B14" s="1"/>
      <c r="C14" s="1"/>
      <c r="D14" s="2"/>
      <c r="E14" s="2"/>
      <c r="F14" s="2"/>
      <c r="G14" s="2"/>
      <c r="H14" s="2"/>
    </row>
    <row r="15" spans="1:8" x14ac:dyDescent="0.25">
      <c r="A15" s="1" t="s">
        <v>221</v>
      </c>
      <c r="B15" s="1"/>
      <c r="C15" s="1"/>
      <c r="D15" s="2"/>
      <c r="E15" s="2"/>
      <c r="F15" s="2"/>
      <c r="G15" s="2"/>
      <c r="H15" s="2"/>
    </row>
    <row r="16" spans="1:8" x14ac:dyDescent="0.25">
      <c r="A16" s="1"/>
      <c r="B16" s="1"/>
      <c r="C16" s="1"/>
      <c r="D16" s="2"/>
      <c r="E16" s="2"/>
      <c r="F16" s="2"/>
      <c r="G16" s="2"/>
      <c r="H16" s="2"/>
    </row>
    <row r="17" spans="1:8" x14ac:dyDescent="0.25">
      <c r="A17" s="1" t="s">
        <v>222</v>
      </c>
      <c r="B17" s="1"/>
      <c r="C17" s="1"/>
      <c r="D17" s="2"/>
      <c r="E17" s="2"/>
      <c r="F17" s="2"/>
      <c r="G17" s="2"/>
      <c r="H17" s="2"/>
    </row>
    <row r="18" spans="1:8" x14ac:dyDescent="0.25">
      <c r="A18" s="1"/>
      <c r="B18" s="1"/>
      <c r="C18" s="1"/>
      <c r="D18" s="2"/>
      <c r="E18" s="2"/>
      <c r="F18" s="2"/>
      <c r="G18" s="2"/>
      <c r="H18" s="2"/>
    </row>
    <row r="19" spans="1:8" ht="13.8" thickBot="1" x14ac:dyDescent="0.3">
      <c r="A19" s="1"/>
      <c r="C19" s="1"/>
      <c r="D19" s="2"/>
      <c r="F19" s="2"/>
      <c r="G19" s="2"/>
      <c r="H19" s="2"/>
    </row>
    <row r="20" spans="1:8" ht="26.4" x14ac:dyDescent="0.25">
      <c r="A20" s="18" t="s">
        <v>29</v>
      </c>
      <c r="B20" s="19" t="s">
        <v>31</v>
      </c>
      <c r="C20" s="19" t="s">
        <v>30</v>
      </c>
      <c r="D20" s="19" t="s">
        <v>32</v>
      </c>
      <c r="E20" s="19" t="s">
        <v>212</v>
      </c>
      <c r="F20" s="19" t="s">
        <v>36</v>
      </c>
      <c r="G20" s="19" t="s">
        <v>33</v>
      </c>
      <c r="H20" s="20" t="s">
        <v>38</v>
      </c>
    </row>
    <row r="21" spans="1:8" x14ac:dyDescent="0.25">
      <c r="A21" s="39">
        <v>1</v>
      </c>
      <c r="B21" s="40" t="s">
        <v>138</v>
      </c>
      <c r="C21" s="40" t="s">
        <v>213</v>
      </c>
      <c r="D21" s="39">
        <v>9</v>
      </c>
      <c r="E21" s="41">
        <v>6.6331018518518511E-2</v>
      </c>
      <c r="F21" s="39">
        <v>1</v>
      </c>
      <c r="G21" s="42" t="s">
        <v>44</v>
      </c>
      <c r="H21" s="42" t="s">
        <v>44</v>
      </c>
    </row>
    <row r="22" spans="1:8" x14ac:dyDescent="0.25">
      <c r="A22" s="39">
        <v>2</v>
      </c>
      <c r="B22" s="43" t="s">
        <v>191</v>
      </c>
      <c r="C22" s="40" t="s">
        <v>113</v>
      </c>
      <c r="D22" s="39">
        <v>22</v>
      </c>
      <c r="E22" s="41">
        <v>6.6747685185185188E-2</v>
      </c>
      <c r="F22" s="39">
        <v>2</v>
      </c>
      <c r="G22" s="42" t="s">
        <v>45</v>
      </c>
      <c r="H22" s="42" t="s">
        <v>44</v>
      </c>
    </row>
    <row r="23" spans="1:8" x14ac:dyDescent="0.25">
      <c r="A23" s="39">
        <v>3</v>
      </c>
      <c r="B23" s="40" t="s">
        <v>171</v>
      </c>
      <c r="C23" s="40" t="s">
        <v>69</v>
      </c>
      <c r="D23" s="39">
        <v>24</v>
      </c>
      <c r="E23" s="41">
        <v>6.7210648148148144E-2</v>
      </c>
      <c r="F23" s="39">
        <v>3</v>
      </c>
      <c r="G23" s="42" t="s">
        <v>44</v>
      </c>
      <c r="H23" s="42" t="s">
        <v>44</v>
      </c>
    </row>
    <row r="24" spans="1:8" x14ac:dyDescent="0.25">
      <c r="A24" s="39">
        <v>4</v>
      </c>
      <c r="B24" s="40" t="s">
        <v>137</v>
      </c>
      <c r="C24" s="40" t="s">
        <v>213</v>
      </c>
      <c r="D24" s="39">
        <v>19</v>
      </c>
      <c r="E24" s="41">
        <v>6.761574074074074E-2</v>
      </c>
      <c r="F24" s="39">
        <v>4</v>
      </c>
      <c r="G24" s="42" t="s">
        <v>44</v>
      </c>
      <c r="H24" s="42" t="s">
        <v>44</v>
      </c>
    </row>
    <row r="25" spans="1:8" x14ac:dyDescent="0.25">
      <c r="A25" s="39">
        <v>5</v>
      </c>
      <c r="B25" s="43" t="s">
        <v>123</v>
      </c>
      <c r="C25" s="40" t="s">
        <v>46</v>
      </c>
      <c r="D25" s="39">
        <v>4</v>
      </c>
      <c r="E25" s="41">
        <v>6.7986111111111108E-2</v>
      </c>
      <c r="F25" s="39">
        <v>5</v>
      </c>
      <c r="G25" s="42" t="s">
        <v>44</v>
      </c>
      <c r="H25" s="42" t="s">
        <v>44</v>
      </c>
    </row>
    <row r="26" spans="1:8" x14ac:dyDescent="0.25">
      <c r="A26" s="39">
        <v>6</v>
      </c>
      <c r="B26" s="40" t="s">
        <v>160</v>
      </c>
      <c r="C26" s="40" t="s">
        <v>69</v>
      </c>
      <c r="D26" s="39">
        <v>17</v>
      </c>
      <c r="E26" s="41">
        <v>6.8194444444444446E-2</v>
      </c>
      <c r="F26" s="39">
        <v>6</v>
      </c>
      <c r="G26" s="42" t="s">
        <v>44</v>
      </c>
      <c r="H26" s="42" t="s">
        <v>44</v>
      </c>
    </row>
    <row r="27" spans="1:8" x14ac:dyDescent="0.25">
      <c r="A27" s="39">
        <v>7</v>
      </c>
      <c r="B27" s="40" t="s">
        <v>162</v>
      </c>
      <c r="C27" s="40" t="s">
        <v>69</v>
      </c>
      <c r="D27" s="39">
        <v>23</v>
      </c>
      <c r="E27" s="41">
        <v>6.8842592592592594E-2</v>
      </c>
      <c r="F27" s="39">
        <v>7</v>
      </c>
      <c r="G27" s="42" t="s">
        <v>44</v>
      </c>
      <c r="H27" s="42" t="s">
        <v>44</v>
      </c>
    </row>
    <row r="28" spans="1:8" x14ac:dyDescent="0.25">
      <c r="A28" s="39">
        <v>8</v>
      </c>
      <c r="B28" s="40" t="s">
        <v>172</v>
      </c>
      <c r="C28" s="40" t="s">
        <v>69</v>
      </c>
      <c r="D28" s="39">
        <v>8</v>
      </c>
      <c r="E28" s="41">
        <v>7.0787037037037037E-2</v>
      </c>
      <c r="F28" s="39">
        <v>8</v>
      </c>
      <c r="G28" s="42" t="s">
        <v>44</v>
      </c>
      <c r="H28" s="42" t="s">
        <v>44</v>
      </c>
    </row>
    <row r="29" spans="1:8" x14ac:dyDescent="0.25">
      <c r="A29" s="39">
        <v>9</v>
      </c>
      <c r="B29" s="43" t="s">
        <v>214</v>
      </c>
      <c r="C29" s="40" t="s">
        <v>76</v>
      </c>
      <c r="D29" s="39">
        <v>26</v>
      </c>
      <c r="E29" s="41">
        <v>7.0891203703703706E-2</v>
      </c>
      <c r="F29" s="39">
        <v>9</v>
      </c>
      <c r="G29" s="42" t="s">
        <v>44</v>
      </c>
      <c r="H29" s="42" t="s">
        <v>44</v>
      </c>
    </row>
    <row r="30" spans="1:8" x14ac:dyDescent="0.25">
      <c r="A30" s="39">
        <v>10</v>
      </c>
      <c r="B30" s="40" t="s">
        <v>149</v>
      </c>
      <c r="C30" s="40" t="s">
        <v>213</v>
      </c>
      <c r="D30" s="39">
        <v>21</v>
      </c>
      <c r="E30" s="41">
        <v>7.1006944444444442E-2</v>
      </c>
      <c r="F30" s="39">
        <v>10</v>
      </c>
      <c r="G30" s="42" t="s">
        <v>45</v>
      </c>
      <c r="H30" s="42" t="s">
        <v>44</v>
      </c>
    </row>
    <row r="31" spans="1:8" x14ac:dyDescent="0.25">
      <c r="A31" s="39">
        <v>11</v>
      </c>
      <c r="B31" s="40" t="s">
        <v>143</v>
      </c>
      <c r="C31" s="40" t="s">
        <v>39</v>
      </c>
      <c r="D31" s="39">
        <v>25</v>
      </c>
      <c r="E31" s="41">
        <v>7.1770833333333339E-2</v>
      </c>
      <c r="F31" s="39">
        <v>11</v>
      </c>
      <c r="G31" s="42" t="s">
        <v>44</v>
      </c>
      <c r="H31" s="42" t="s">
        <v>44</v>
      </c>
    </row>
    <row r="32" spans="1:8" x14ac:dyDescent="0.25">
      <c r="A32" s="39">
        <v>12</v>
      </c>
      <c r="B32" s="40" t="s">
        <v>151</v>
      </c>
      <c r="C32" s="40" t="s">
        <v>49</v>
      </c>
      <c r="D32" s="39">
        <v>3</v>
      </c>
      <c r="E32" s="41">
        <v>7.2083333333333333E-2</v>
      </c>
      <c r="F32" s="39">
        <v>12</v>
      </c>
      <c r="G32" s="42" t="s">
        <v>44</v>
      </c>
      <c r="H32" s="42" t="s">
        <v>44</v>
      </c>
    </row>
    <row r="33" spans="1:8" x14ac:dyDescent="0.25">
      <c r="A33" s="39">
        <v>13</v>
      </c>
      <c r="B33" s="40" t="s">
        <v>142</v>
      </c>
      <c r="C33" s="40" t="s">
        <v>39</v>
      </c>
      <c r="D33" s="39">
        <v>28</v>
      </c>
      <c r="E33" s="41">
        <v>7.2349537037037046E-2</v>
      </c>
      <c r="F33" s="39">
        <v>13</v>
      </c>
      <c r="G33" s="42" t="s">
        <v>44</v>
      </c>
      <c r="H33" s="42" t="s">
        <v>44</v>
      </c>
    </row>
    <row r="34" spans="1:8" x14ac:dyDescent="0.25">
      <c r="A34" s="39">
        <v>14</v>
      </c>
      <c r="B34" s="43" t="s">
        <v>125</v>
      </c>
      <c r="C34" s="40" t="s">
        <v>46</v>
      </c>
      <c r="D34" s="39">
        <v>6</v>
      </c>
      <c r="E34" s="41">
        <v>7.2361111111111112E-2</v>
      </c>
      <c r="F34" s="39">
        <v>14</v>
      </c>
      <c r="G34" s="42" t="s">
        <v>44</v>
      </c>
      <c r="H34" s="42" t="s">
        <v>44</v>
      </c>
    </row>
    <row r="35" spans="1:8" x14ac:dyDescent="0.25">
      <c r="A35" s="39">
        <v>15</v>
      </c>
      <c r="B35" s="43" t="s">
        <v>136</v>
      </c>
      <c r="C35" s="40" t="s">
        <v>46</v>
      </c>
      <c r="D35" s="39">
        <v>2</v>
      </c>
      <c r="E35" s="41">
        <v>7.2638888888888892E-2</v>
      </c>
      <c r="F35" s="39">
        <v>15</v>
      </c>
      <c r="G35" s="42" t="s">
        <v>44</v>
      </c>
      <c r="H35" s="42" t="s">
        <v>44</v>
      </c>
    </row>
    <row r="36" spans="1:8" x14ac:dyDescent="0.25">
      <c r="A36" s="39">
        <v>16</v>
      </c>
      <c r="B36" s="43" t="s">
        <v>174</v>
      </c>
      <c r="C36" s="40" t="s">
        <v>76</v>
      </c>
      <c r="D36" s="39">
        <v>15</v>
      </c>
      <c r="E36" s="41">
        <v>7.3356481481481481E-2</v>
      </c>
      <c r="F36" s="39">
        <v>16</v>
      </c>
      <c r="G36" s="42" t="s">
        <v>44</v>
      </c>
      <c r="H36" s="42" t="s">
        <v>44</v>
      </c>
    </row>
    <row r="37" spans="1:8" x14ac:dyDescent="0.25">
      <c r="A37" s="39">
        <v>17</v>
      </c>
      <c r="B37" s="40" t="s">
        <v>145</v>
      </c>
      <c r="C37" s="40" t="s">
        <v>39</v>
      </c>
      <c r="D37" s="39">
        <v>13</v>
      </c>
      <c r="E37" s="41">
        <v>7.3842592592592585E-2</v>
      </c>
      <c r="F37" s="39">
        <v>17</v>
      </c>
      <c r="G37" s="42" t="s">
        <v>44</v>
      </c>
      <c r="H37" s="42" t="s">
        <v>44</v>
      </c>
    </row>
    <row r="38" spans="1:8" x14ac:dyDescent="0.25">
      <c r="A38" s="39">
        <v>18</v>
      </c>
      <c r="B38" s="40" t="s">
        <v>156</v>
      </c>
      <c r="C38" s="40" t="s">
        <v>49</v>
      </c>
      <c r="D38" s="39">
        <v>1</v>
      </c>
      <c r="E38" s="41">
        <v>7.4502314814814813E-2</v>
      </c>
      <c r="F38" s="39">
        <v>18</v>
      </c>
      <c r="G38" s="42" t="s">
        <v>44</v>
      </c>
      <c r="H38" s="42" t="s">
        <v>44</v>
      </c>
    </row>
    <row r="39" spans="1:8" x14ac:dyDescent="0.25">
      <c r="A39" s="39">
        <v>19</v>
      </c>
      <c r="B39" s="40" t="s">
        <v>170</v>
      </c>
      <c r="C39" s="40" t="s">
        <v>49</v>
      </c>
      <c r="D39" s="39">
        <v>10</v>
      </c>
      <c r="E39" s="41">
        <v>7.4537037037037041E-2</v>
      </c>
      <c r="F39" s="39">
        <v>19</v>
      </c>
      <c r="G39" s="42" t="s">
        <v>44</v>
      </c>
      <c r="H39" s="42" t="s">
        <v>44</v>
      </c>
    </row>
    <row r="40" spans="1:8" x14ac:dyDescent="0.25">
      <c r="A40" s="39">
        <v>20</v>
      </c>
      <c r="B40" s="40" t="s">
        <v>128</v>
      </c>
      <c r="C40" s="40" t="s">
        <v>47</v>
      </c>
      <c r="D40" s="39">
        <v>7</v>
      </c>
      <c r="E40" s="41">
        <v>7.6967592592592601E-2</v>
      </c>
      <c r="F40" s="39">
        <v>20</v>
      </c>
      <c r="G40" s="42" t="s">
        <v>44</v>
      </c>
      <c r="H40" s="42" t="s">
        <v>44</v>
      </c>
    </row>
    <row r="41" spans="1:8" x14ac:dyDescent="0.25">
      <c r="A41" s="39">
        <v>21</v>
      </c>
      <c r="B41" s="40" t="s">
        <v>141</v>
      </c>
      <c r="C41" s="40" t="s">
        <v>47</v>
      </c>
      <c r="D41" s="39">
        <v>11</v>
      </c>
      <c r="E41" s="41">
        <v>7.7974537037037037E-2</v>
      </c>
      <c r="F41" s="39">
        <v>21</v>
      </c>
      <c r="G41" s="42" t="s">
        <v>44</v>
      </c>
      <c r="H41" s="42" t="s">
        <v>45</v>
      </c>
    </row>
    <row r="42" spans="1:8" x14ac:dyDescent="0.25">
      <c r="A42" s="39">
        <v>22</v>
      </c>
      <c r="B42" s="43" t="s">
        <v>178</v>
      </c>
      <c r="C42" s="40" t="s">
        <v>113</v>
      </c>
      <c r="D42" s="39">
        <v>27</v>
      </c>
      <c r="E42" s="41">
        <v>7.8171296296296308E-2</v>
      </c>
      <c r="F42" s="39">
        <v>22</v>
      </c>
      <c r="G42" s="42" t="s">
        <v>45</v>
      </c>
      <c r="H42" s="42" t="s">
        <v>45</v>
      </c>
    </row>
    <row r="43" spans="1:8" x14ac:dyDescent="0.25">
      <c r="A43" s="39">
        <v>23</v>
      </c>
      <c r="B43" s="40" t="s">
        <v>131</v>
      </c>
      <c r="C43" s="40" t="s">
        <v>213</v>
      </c>
      <c r="D43" s="39">
        <v>12</v>
      </c>
      <c r="E43" s="41">
        <v>7.8506944444444449E-2</v>
      </c>
      <c r="F43" s="39">
        <v>23</v>
      </c>
      <c r="G43" s="42" t="s">
        <v>44</v>
      </c>
      <c r="H43" s="42" t="s">
        <v>45</v>
      </c>
    </row>
    <row r="44" spans="1:8" x14ac:dyDescent="0.25">
      <c r="A44" s="39">
        <v>24</v>
      </c>
      <c r="B44" s="43" t="s">
        <v>147</v>
      </c>
      <c r="C44" s="40" t="s">
        <v>75</v>
      </c>
      <c r="D44" s="39">
        <v>16</v>
      </c>
      <c r="E44" s="41">
        <v>7.930555555555556E-2</v>
      </c>
      <c r="F44" s="39">
        <v>24</v>
      </c>
      <c r="G44" s="42" t="s">
        <v>44</v>
      </c>
      <c r="H44" s="42" t="s">
        <v>45</v>
      </c>
    </row>
    <row r="45" spans="1:8" x14ac:dyDescent="0.25">
      <c r="A45" s="39">
        <v>25</v>
      </c>
      <c r="B45" s="43" t="s">
        <v>164</v>
      </c>
      <c r="C45" s="40" t="s">
        <v>116</v>
      </c>
      <c r="D45" s="39">
        <v>18</v>
      </c>
      <c r="E45" s="41">
        <v>8.189814814814815E-2</v>
      </c>
      <c r="F45" s="39">
        <v>25</v>
      </c>
      <c r="G45" s="42" t="s">
        <v>44</v>
      </c>
      <c r="H45" s="44"/>
    </row>
    <row r="46" spans="1:8" x14ac:dyDescent="0.25">
      <c r="A46" s="39">
        <v>26</v>
      </c>
      <c r="B46" s="43" t="s">
        <v>180</v>
      </c>
      <c r="C46" s="40" t="s">
        <v>116</v>
      </c>
      <c r="D46" s="39">
        <v>5</v>
      </c>
      <c r="E46" s="41">
        <v>9.4259259259259265E-2</v>
      </c>
      <c r="F46" s="39">
        <v>26</v>
      </c>
      <c r="G46" s="42" t="s">
        <v>45</v>
      </c>
      <c r="H46" s="44"/>
    </row>
    <row r="47" spans="1:8" x14ac:dyDescent="0.25">
      <c r="A47" s="39">
        <v>27</v>
      </c>
      <c r="B47" s="40" t="s">
        <v>148</v>
      </c>
      <c r="C47" s="40" t="s">
        <v>213</v>
      </c>
      <c r="D47" s="39">
        <v>20</v>
      </c>
      <c r="E47" s="44" t="s">
        <v>211</v>
      </c>
      <c r="F47" s="39"/>
      <c r="G47" s="44"/>
      <c r="H47" s="44"/>
    </row>
    <row r="48" spans="1:8" x14ac:dyDescent="0.25">
      <c r="A48" s="39">
        <v>28</v>
      </c>
      <c r="B48" s="43" t="s">
        <v>124</v>
      </c>
      <c r="C48" s="40" t="s">
        <v>46</v>
      </c>
      <c r="D48" s="39">
        <v>14</v>
      </c>
      <c r="E48" s="44" t="s">
        <v>211</v>
      </c>
      <c r="F48" s="43"/>
      <c r="G48" s="44"/>
      <c r="H48" s="44"/>
    </row>
    <row r="51" spans="1:4" x14ac:dyDescent="0.25">
      <c r="B51" s="1" t="s">
        <v>85</v>
      </c>
      <c r="C51" s="1"/>
    </row>
    <row r="52" spans="1:4" x14ac:dyDescent="0.25">
      <c r="B52" s="1" t="s">
        <v>215</v>
      </c>
      <c r="C52" s="1"/>
      <c r="D52" s="1"/>
    </row>
    <row r="53" spans="1:4" x14ac:dyDescent="0.25">
      <c r="B53" s="1" t="s">
        <v>216</v>
      </c>
      <c r="C53" s="1"/>
    </row>
    <row r="54" spans="1:4" x14ac:dyDescent="0.25">
      <c r="B54" s="1"/>
      <c r="C54" s="1"/>
    </row>
    <row r="55" spans="1:4" x14ac:dyDescent="0.25">
      <c r="B55" s="1" t="s">
        <v>89</v>
      </c>
      <c r="C55" s="1" t="s">
        <v>90</v>
      </c>
    </row>
    <row r="56" spans="1:4" x14ac:dyDescent="0.25">
      <c r="B56" s="1" t="s">
        <v>86</v>
      </c>
      <c r="C56" s="1" t="s">
        <v>91</v>
      </c>
    </row>
    <row r="57" spans="1:4" x14ac:dyDescent="0.25">
      <c r="B57" s="1"/>
      <c r="C57" s="1"/>
    </row>
    <row r="62" spans="1:4" x14ac:dyDescent="0.25">
      <c r="A62" s="1"/>
    </row>
    <row r="79" spans="1:1" x14ac:dyDescent="0.25">
      <c r="A7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20" workbookViewId="0">
      <selection activeCell="E21" sqref="E21:E46"/>
    </sheetView>
  </sheetViews>
  <sheetFormatPr defaultColWidth="20.44140625" defaultRowHeight="13.2" x14ac:dyDescent="0.25"/>
  <cols>
    <col min="1" max="1" width="7.44140625" style="1" customWidth="1"/>
    <col min="2" max="3" width="20.44140625" style="1"/>
    <col min="4" max="4" width="11.6640625" style="1" customWidth="1"/>
    <col min="5" max="5" width="12.5546875" style="17" customWidth="1"/>
    <col min="6" max="6" width="11.77734375" style="1" customWidth="1"/>
    <col min="7" max="7" width="15.21875" style="1" customWidth="1"/>
    <col min="8" max="16384" width="20.44140625" style="1"/>
  </cols>
  <sheetData>
    <row r="1" spans="1:8" x14ac:dyDescent="0.25">
      <c r="A1" s="1" t="s">
        <v>0</v>
      </c>
      <c r="D1" s="2"/>
      <c r="E1" s="2"/>
      <c r="F1" s="2"/>
      <c r="G1" s="2"/>
      <c r="H1" s="2"/>
    </row>
    <row r="2" spans="1:8" x14ac:dyDescent="0.25">
      <c r="A2" s="1" t="s">
        <v>1</v>
      </c>
      <c r="D2" s="2"/>
      <c r="E2" s="2"/>
      <c r="F2" s="2"/>
      <c r="G2" s="2"/>
      <c r="H2" s="2"/>
    </row>
    <row r="3" spans="1:8" x14ac:dyDescent="0.25">
      <c r="D3" s="2"/>
      <c r="E3" s="2"/>
      <c r="F3" s="2"/>
      <c r="G3" s="2"/>
      <c r="H3" s="2"/>
    </row>
    <row r="4" spans="1:8" x14ac:dyDescent="0.25">
      <c r="A4" s="1" t="s">
        <v>21</v>
      </c>
      <c r="D4" s="2"/>
      <c r="E4" s="2"/>
      <c r="F4" s="2"/>
      <c r="G4" s="2"/>
      <c r="H4" s="2"/>
    </row>
    <row r="5" spans="1:8" x14ac:dyDescent="0.25">
      <c r="A5" s="1" t="s">
        <v>22</v>
      </c>
      <c r="D5" s="2"/>
      <c r="E5" s="2"/>
      <c r="F5" s="2"/>
      <c r="G5" s="2"/>
      <c r="H5" s="2"/>
    </row>
    <row r="6" spans="1:8" x14ac:dyDescent="0.25">
      <c r="D6" s="2"/>
      <c r="E6" s="2"/>
      <c r="F6" s="2"/>
      <c r="G6" s="2"/>
      <c r="H6" s="2"/>
    </row>
    <row r="7" spans="1:8" x14ac:dyDescent="0.25">
      <c r="A7" s="1" t="s">
        <v>2</v>
      </c>
      <c r="D7" s="2"/>
      <c r="E7" s="2"/>
      <c r="F7" s="2"/>
      <c r="G7" s="2"/>
      <c r="H7" s="2"/>
    </row>
    <row r="8" spans="1:8" x14ac:dyDescent="0.25">
      <c r="A8" s="1" t="s">
        <v>204</v>
      </c>
      <c r="D8" s="2"/>
      <c r="E8" s="2"/>
      <c r="F8" s="2"/>
      <c r="G8" s="2"/>
      <c r="H8" s="2"/>
    </row>
    <row r="9" spans="1:8" x14ac:dyDescent="0.25">
      <c r="D9" s="2"/>
      <c r="E9" s="2"/>
      <c r="F9" s="2"/>
      <c r="G9" s="2"/>
      <c r="H9" s="2"/>
    </row>
    <row r="10" spans="1:8" x14ac:dyDescent="0.25">
      <c r="A10" s="1" t="s">
        <v>354</v>
      </c>
      <c r="D10" s="2"/>
      <c r="E10" s="2"/>
      <c r="F10" s="2"/>
      <c r="G10" s="2"/>
      <c r="H10" s="2"/>
    </row>
    <row r="11" spans="1:8" x14ac:dyDescent="0.25">
      <c r="A11" s="1" t="s">
        <v>355</v>
      </c>
      <c r="D11" s="2"/>
      <c r="E11" s="2"/>
      <c r="F11" s="2"/>
      <c r="G11" s="2"/>
      <c r="H11" s="2"/>
    </row>
    <row r="12" spans="1:8" x14ac:dyDescent="0.25">
      <c r="A12" s="1" t="s">
        <v>219</v>
      </c>
      <c r="D12" s="2"/>
      <c r="E12" s="2"/>
      <c r="F12" s="2"/>
      <c r="G12" s="2"/>
      <c r="H12" s="2"/>
    </row>
    <row r="13" spans="1:8" x14ac:dyDescent="0.25">
      <c r="D13" s="2"/>
      <c r="E13" s="2"/>
      <c r="F13" s="2"/>
      <c r="G13" s="2"/>
      <c r="H13" s="2"/>
    </row>
    <row r="14" spans="1:8" x14ac:dyDescent="0.25">
      <c r="A14" s="1" t="s">
        <v>220</v>
      </c>
      <c r="D14" s="2"/>
      <c r="E14" s="2"/>
      <c r="F14" s="2"/>
      <c r="G14" s="2"/>
      <c r="H14" s="2"/>
    </row>
    <row r="15" spans="1:8" x14ac:dyDescent="0.25">
      <c r="A15" s="1" t="s">
        <v>358</v>
      </c>
      <c r="D15" s="2"/>
      <c r="E15" s="2"/>
      <c r="F15" s="2"/>
      <c r="G15" s="2"/>
      <c r="H15" s="2"/>
    </row>
    <row r="16" spans="1:8" x14ac:dyDescent="0.25">
      <c r="D16" s="2"/>
      <c r="E16" s="2"/>
      <c r="F16" s="2"/>
      <c r="G16" s="2"/>
      <c r="H16" s="2"/>
    </row>
    <row r="17" spans="1:8" x14ac:dyDescent="0.25">
      <c r="A17" s="1" t="s">
        <v>359</v>
      </c>
      <c r="D17" s="2"/>
      <c r="E17" s="2"/>
      <c r="F17" s="2"/>
      <c r="G17" s="2"/>
      <c r="H17" s="2"/>
    </row>
    <row r="18" spans="1:8" x14ac:dyDescent="0.25">
      <c r="D18" s="2"/>
      <c r="E18" s="2"/>
      <c r="F18" s="2"/>
      <c r="G18" s="2"/>
      <c r="H18" s="2"/>
    </row>
    <row r="19" spans="1:8" x14ac:dyDescent="0.25">
      <c r="B19"/>
      <c r="D19" s="2"/>
      <c r="E19" s="38"/>
      <c r="F19" s="2"/>
      <c r="G19" s="2"/>
      <c r="H19" s="2"/>
    </row>
    <row r="20" spans="1:8" ht="26.4" x14ac:dyDescent="0.25">
      <c r="A20" s="52" t="s">
        <v>29</v>
      </c>
      <c r="B20" s="52" t="s">
        <v>31</v>
      </c>
      <c r="C20" s="52" t="s">
        <v>30</v>
      </c>
      <c r="D20" s="52" t="s">
        <v>32</v>
      </c>
      <c r="E20" s="52" t="s">
        <v>212</v>
      </c>
      <c r="F20" s="52" t="s">
        <v>36</v>
      </c>
      <c r="G20" s="52" t="s">
        <v>33</v>
      </c>
      <c r="H20" s="52" t="s">
        <v>38</v>
      </c>
    </row>
    <row r="21" spans="1:8" x14ac:dyDescent="0.25">
      <c r="A21" s="53">
        <v>1</v>
      </c>
      <c r="B21" s="40" t="s">
        <v>11</v>
      </c>
      <c r="C21" s="50" t="s">
        <v>47</v>
      </c>
      <c r="D21" s="53" t="s">
        <v>325</v>
      </c>
      <c r="E21" s="57">
        <v>5.0706018518518518E-2</v>
      </c>
      <c r="F21" s="53">
        <v>1</v>
      </c>
      <c r="G21" s="42" t="s">
        <v>44</v>
      </c>
      <c r="H21" s="42" t="s">
        <v>44</v>
      </c>
    </row>
    <row r="22" spans="1:8" x14ac:dyDescent="0.25">
      <c r="A22" s="53">
        <v>2</v>
      </c>
      <c r="B22" s="40" t="s">
        <v>343</v>
      </c>
      <c r="C22" s="50" t="s">
        <v>47</v>
      </c>
      <c r="D22" s="53" t="s">
        <v>334</v>
      </c>
      <c r="E22" s="57">
        <v>5.2002314814814814E-2</v>
      </c>
      <c r="F22" s="53">
        <v>2</v>
      </c>
      <c r="G22" s="42" t="s">
        <v>44</v>
      </c>
      <c r="H22" s="42" t="s">
        <v>44</v>
      </c>
    </row>
    <row r="23" spans="1:8" x14ac:dyDescent="0.25">
      <c r="A23" s="53">
        <v>3</v>
      </c>
      <c r="B23" s="40" t="s">
        <v>62</v>
      </c>
      <c r="C23" s="50" t="s">
        <v>49</v>
      </c>
      <c r="D23" s="53" t="s">
        <v>336</v>
      </c>
      <c r="E23" s="57">
        <v>5.2685185185185189E-2</v>
      </c>
      <c r="F23" s="53">
        <v>3</v>
      </c>
      <c r="G23" s="42" t="s">
        <v>44</v>
      </c>
      <c r="H23" s="42" t="s">
        <v>44</v>
      </c>
    </row>
    <row r="24" spans="1:8" x14ac:dyDescent="0.25">
      <c r="A24" s="53">
        <v>4</v>
      </c>
      <c r="B24" s="40" t="s">
        <v>79</v>
      </c>
      <c r="C24" s="50" t="s">
        <v>75</v>
      </c>
      <c r="D24" s="53">
        <v>53</v>
      </c>
      <c r="E24" s="57">
        <v>5.334490740740741E-2</v>
      </c>
      <c r="F24" s="53">
        <v>4</v>
      </c>
      <c r="G24" s="42" t="s">
        <v>44</v>
      </c>
      <c r="H24" s="42" t="s">
        <v>44</v>
      </c>
    </row>
    <row r="25" spans="1:8" x14ac:dyDescent="0.25">
      <c r="A25" s="53">
        <v>5</v>
      </c>
      <c r="B25" s="40" t="s">
        <v>342</v>
      </c>
      <c r="C25" s="50" t="s">
        <v>49</v>
      </c>
      <c r="D25" s="53">
        <v>65</v>
      </c>
      <c r="E25" s="57">
        <v>5.5081018518518515E-2</v>
      </c>
      <c r="F25" s="53">
        <v>5</v>
      </c>
      <c r="G25" s="42" t="s">
        <v>44</v>
      </c>
      <c r="H25" s="42" t="s">
        <v>44</v>
      </c>
    </row>
    <row r="26" spans="1:8" x14ac:dyDescent="0.25">
      <c r="A26" s="53">
        <v>6</v>
      </c>
      <c r="B26" s="40" t="s">
        <v>345</v>
      </c>
      <c r="C26" s="50" t="s">
        <v>70</v>
      </c>
      <c r="D26" s="53">
        <v>72</v>
      </c>
      <c r="E26" s="57">
        <v>5.5196759259259265E-2</v>
      </c>
      <c r="F26" s="53">
        <v>6</v>
      </c>
      <c r="G26" s="42" t="s">
        <v>44</v>
      </c>
      <c r="H26" s="42" t="s">
        <v>44</v>
      </c>
    </row>
    <row r="27" spans="1:8" x14ac:dyDescent="0.25">
      <c r="A27" s="53">
        <v>7</v>
      </c>
      <c r="B27" s="40" t="s">
        <v>61</v>
      </c>
      <c r="C27" s="50" t="s">
        <v>49</v>
      </c>
      <c r="D27" s="53" t="s">
        <v>337</v>
      </c>
      <c r="E27" s="57">
        <v>5.5312499999999994E-2</v>
      </c>
      <c r="F27" s="53">
        <v>7</v>
      </c>
      <c r="G27" s="42" t="s">
        <v>44</v>
      </c>
      <c r="H27" s="42" t="s">
        <v>44</v>
      </c>
    </row>
    <row r="28" spans="1:8" x14ac:dyDescent="0.25">
      <c r="A28" s="53">
        <v>8</v>
      </c>
      <c r="B28" s="40" t="s">
        <v>344</v>
      </c>
      <c r="C28" s="50" t="s">
        <v>69</v>
      </c>
      <c r="D28" s="53" t="s">
        <v>315</v>
      </c>
      <c r="E28" s="57">
        <v>5.6990740740740738E-2</v>
      </c>
      <c r="F28" s="53">
        <v>8</v>
      </c>
      <c r="G28" s="42" t="s">
        <v>44</v>
      </c>
      <c r="H28" s="42" t="s">
        <v>44</v>
      </c>
    </row>
    <row r="29" spans="1:8" x14ac:dyDescent="0.25">
      <c r="A29" s="53">
        <v>9</v>
      </c>
      <c r="B29" s="40" t="s">
        <v>73</v>
      </c>
      <c r="C29" s="50" t="s">
        <v>70</v>
      </c>
      <c r="D29" s="53">
        <v>64</v>
      </c>
      <c r="E29" s="57">
        <v>5.7048611111111112E-2</v>
      </c>
      <c r="F29" s="53">
        <v>9</v>
      </c>
      <c r="G29" s="42" t="s">
        <v>44</v>
      </c>
      <c r="H29" s="42" t="s">
        <v>44</v>
      </c>
    </row>
    <row r="30" spans="1:8" x14ac:dyDescent="0.25">
      <c r="A30" s="53">
        <v>10</v>
      </c>
      <c r="B30" s="40" t="s">
        <v>74</v>
      </c>
      <c r="C30" s="50" t="s">
        <v>70</v>
      </c>
      <c r="D30" s="53" t="s">
        <v>330</v>
      </c>
      <c r="E30" s="57">
        <v>5.7777777777777782E-2</v>
      </c>
      <c r="F30" s="53">
        <v>10</v>
      </c>
      <c r="G30" s="42" t="s">
        <v>44</v>
      </c>
      <c r="H30" s="42" t="s">
        <v>44</v>
      </c>
    </row>
    <row r="31" spans="1:8" x14ac:dyDescent="0.25">
      <c r="A31" s="53">
        <v>11</v>
      </c>
      <c r="B31" s="40" t="s">
        <v>42</v>
      </c>
      <c r="C31" s="50" t="s">
        <v>39</v>
      </c>
      <c r="D31" s="53">
        <v>55</v>
      </c>
      <c r="E31" s="57">
        <v>5.8414351851851849E-2</v>
      </c>
      <c r="F31" s="53">
        <v>11</v>
      </c>
      <c r="G31" s="42" t="s">
        <v>44</v>
      </c>
      <c r="H31" s="42" t="s">
        <v>44</v>
      </c>
    </row>
    <row r="32" spans="1:8" x14ac:dyDescent="0.25">
      <c r="A32" s="53">
        <v>12</v>
      </c>
      <c r="B32" s="40" t="s">
        <v>53</v>
      </c>
      <c r="C32" s="50" t="s">
        <v>46</v>
      </c>
      <c r="D32" s="53" t="s">
        <v>5</v>
      </c>
      <c r="E32" s="57">
        <v>5.8912037037037034E-2</v>
      </c>
      <c r="F32" s="53">
        <v>12</v>
      </c>
      <c r="G32" s="42" t="s">
        <v>44</v>
      </c>
      <c r="H32" s="42" t="s">
        <v>44</v>
      </c>
    </row>
    <row r="33" spans="1:8" x14ac:dyDescent="0.25">
      <c r="A33" s="53">
        <v>13</v>
      </c>
      <c r="B33" s="40" t="s">
        <v>43</v>
      </c>
      <c r="C33" s="50" t="s">
        <v>39</v>
      </c>
      <c r="D33" s="53" t="s">
        <v>356</v>
      </c>
      <c r="E33" s="57">
        <v>6.011574074074074E-2</v>
      </c>
      <c r="F33" s="53">
        <v>13</v>
      </c>
      <c r="G33" s="42" t="s">
        <v>44</v>
      </c>
      <c r="H33" s="42" t="s">
        <v>44</v>
      </c>
    </row>
    <row r="34" spans="1:8" x14ac:dyDescent="0.25">
      <c r="A34" s="53">
        <v>14</v>
      </c>
      <c r="B34" s="40" t="s">
        <v>52</v>
      </c>
      <c r="C34" s="50" t="s">
        <v>46</v>
      </c>
      <c r="D34" s="53" t="s">
        <v>16</v>
      </c>
      <c r="E34" s="57">
        <v>6.1550925925925926E-2</v>
      </c>
      <c r="F34" s="53">
        <v>14</v>
      </c>
      <c r="G34" s="42" t="s">
        <v>44</v>
      </c>
      <c r="H34" s="42" t="s">
        <v>44</v>
      </c>
    </row>
    <row r="35" spans="1:8" x14ac:dyDescent="0.25">
      <c r="A35" s="53">
        <v>15</v>
      </c>
      <c r="B35" s="40" t="s">
        <v>18</v>
      </c>
      <c r="C35" s="50" t="s">
        <v>48</v>
      </c>
      <c r="D35" s="53" t="s">
        <v>328</v>
      </c>
      <c r="E35" s="57">
        <v>6.3055555555555545E-2</v>
      </c>
      <c r="F35" s="53">
        <v>15</v>
      </c>
      <c r="G35" s="42" t="s">
        <v>44</v>
      </c>
      <c r="H35" s="42" t="s">
        <v>44</v>
      </c>
    </row>
    <row r="36" spans="1:8" x14ac:dyDescent="0.25">
      <c r="A36" s="53">
        <v>16</v>
      </c>
      <c r="B36" s="40" t="s">
        <v>360</v>
      </c>
      <c r="C36" s="50" t="s">
        <v>49</v>
      </c>
      <c r="D36" s="53" t="s">
        <v>232</v>
      </c>
      <c r="E36" s="57">
        <v>6.4560185185185193E-2</v>
      </c>
      <c r="F36" s="53">
        <v>16</v>
      </c>
      <c r="G36" s="42" t="s">
        <v>44</v>
      </c>
      <c r="H36" s="42" t="s">
        <v>44</v>
      </c>
    </row>
    <row r="37" spans="1:8" x14ac:dyDescent="0.25">
      <c r="A37" s="53">
        <v>17</v>
      </c>
      <c r="B37" s="40" t="s">
        <v>340</v>
      </c>
      <c r="C37" s="50" t="s">
        <v>361</v>
      </c>
      <c r="D37" s="53" t="s">
        <v>9</v>
      </c>
      <c r="E37" s="57">
        <v>6.7835648148148145E-2</v>
      </c>
      <c r="F37" s="53">
        <v>17</v>
      </c>
      <c r="G37" s="42" t="s">
        <v>44</v>
      </c>
      <c r="H37" s="42" t="s">
        <v>44</v>
      </c>
    </row>
    <row r="38" spans="1:8" x14ac:dyDescent="0.25">
      <c r="A38" s="53">
        <v>18</v>
      </c>
      <c r="B38" s="40" t="s">
        <v>81</v>
      </c>
      <c r="C38" s="50" t="s">
        <v>76</v>
      </c>
      <c r="D38" s="53" t="s">
        <v>326</v>
      </c>
      <c r="E38" s="57">
        <v>6.9780092592592588E-2</v>
      </c>
      <c r="F38" s="53">
        <v>18</v>
      </c>
      <c r="G38" s="42" t="s">
        <v>45</v>
      </c>
      <c r="H38" s="42" t="s">
        <v>44</v>
      </c>
    </row>
    <row r="39" spans="1:8" x14ac:dyDescent="0.25">
      <c r="A39" s="53">
        <v>19</v>
      </c>
      <c r="B39" s="40" t="s">
        <v>55</v>
      </c>
      <c r="C39" s="50" t="s">
        <v>47</v>
      </c>
      <c r="D39" s="53" t="s">
        <v>4</v>
      </c>
      <c r="E39" s="57">
        <v>7.0833333333333331E-2</v>
      </c>
      <c r="F39" s="53">
        <v>19</v>
      </c>
      <c r="G39" s="42" t="s">
        <v>44</v>
      </c>
      <c r="H39" s="42" t="s">
        <v>44</v>
      </c>
    </row>
    <row r="40" spans="1:8" x14ac:dyDescent="0.25">
      <c r="A40" s="53">
        <v>20</v>
      </c>
      <c r="B40" s="40" t="s">
        <v>100</v>
      </c>
      <c r="C40" s="50" t="s">
        <v>114</v>
      </c>
      <c r="D40" s="53" t="s">
        <v>317</v>
      </c>
      <c r="E40" s="57">
        <v>7.2094907407407413E-2</v>
      </c>
      <c r="F40" s="53">
        <v>20</v>
      </c>
      <c r="G40" s="42" t="s">
        <v>45</v>
      </c>
      <c r="H40" s="42" t="s">
        <v>44</v>
      </c>
    </row>
    <row r="41" spans="1:8" x14ac:dyDescent="0.25">
      <c r="A41" s="53">
        <v>21</v>
      </c>
      <c r="B41" s="40" t="s">
        <v>99</v>
      </c>
      <c r="C41" s="50" t="s">
        <v>113</v>
      </c>
      <c r="D41" s="53" t="s">
        <v>320</v>
      </c>
      <c r="E41" s="57">
        <v>7.2187500000000002E-2</v>
      </c>
      <c r="F41" s="53">
        <v>21</v>
      </c>
      <c r="G41" s="42" t="s">
        <v>45</v>
      </c>
      <c r="H41" s="42"/>
    </row>
    <row r="42" spans="1:8" x14ac:dyDescent="0.25">
      <c r="A42" s="53">
        <v>22</v>
      </c>
      <c r="B42" s="40" t="s">
        <v>80</v>
      </c>
      <c r="C42" s="50" t="s">
        <v>75</v>
      </c>
      <c r="D42" s="53" t="s">
        <v>14</v>
      </c>
      <c r="E42" s="57">
        <v>7.2708333333333333E-2</v>
      </c>
      <c r="F42" s="53">
        <v>22</v>
      </c>
      <c r="G42" s="42" t="s">
        <v>44</v>
      </c>
      <c r="H42" s="42"/>
    </row>
    <row r="43" spans="1:8" x14ac:dyDescent="0.25">
      <c r="A43" s="53">
        <v>23</v>
      </c>
      <c r="B43" s="40" t="s">
        <v>67</v>
      </c>
      <c r="C43" s="50" t="s">
        <v>69</v>
      </c>
      <c r="D43" s="53" t="s">
        <v>329</v>
      </c>
      <c r="E43" s="57">
        <v>7.4143518518518511E-2</v>
      </c>
      <c r="F43" s="53">
        <v>23</v>
      </c>
      <c r="G43" s="42" t="s">
        <v>44</v>
      </c>
      <c r="H43" s="42"/>
    </row>
    <row r="44" spans="1:8" x14ac:dyDescent="0.25">
      <c r="A44" s="53">
        <v>24</v>
      </c>
      <c r="B44" s="40" t="s">
        <v>78</v>
      </c>
      <c r="C44" s="50" t="s">
        <v>75</v>
      </c>
      <c r="D44" s="53">
        <v>61</v>
      </c>
      <c r="E44" s="57">
        <v>7.4756944444444445E-2</v>
      </c>
      <c r="F44" s="53">
        <v>24</v>
      </c>
      <c r="G44" s="42" t="s">
        <v>44</v>
      </c>
      <c r="H44" s="42"/>
    </row>
    <row r="45" spans="1:8" x14ac:dyDescent="0.25">
      <c r="A45" s="53">
        <v>25</v>
      </c>
      <c r="B45" s="40" t="s">
        <v>84</v>
      </c>
      <c r="C45" s="50" t="s">
        <v>76</v>
      </c>
      <c r="D45" s="53">
        <v>66</v>
      </c>
      <c r="E45" s="57">
        <v>8.7175925925925934E-2</v>
      </c>
      <c r="F45" s="53">
        <v>25</v>
      </c>
      <c r="G45" s="42" t="s">
        <v>45</v>
      </c>
      <c r="H45" s="42"/>
    </row>
    <row r="46" spans="1:8" x14ac:dyDescent="0.25">
      <c r="A46" s="53">
        <v>26</v>
      </c>
      <c r="B46" s="40" t="s">
        <v>66</v>
      </c>
      <c r="C46" s="50" t="s">
        <v>69</v>
      </c>
      <c r="D46" s="53">
        <v>56</v>
      </c>
      <c r="E46" s="57">
        <v>9.5509259259259252E-2</v>
      </c>
      <c r="F46" s="53">
        <v>26</v>
      </c>
      <c r="G46" s="42" t="s">
        <v>44</v>
      </c>
      <c r="H46" s="42"/>
    </row>
    <row r="47" spans="1:8" x14ac:dyDescent="0.25">
      <c r="A47" s="53">
        <v>27</v>
      </c>
      <c r="B47" s="40" t="s">
        <v>101</v>
      </c>
      <c r="C47" s="50" t="s">
        <v>114</v>
      </c>
      <c r="D47" s="53">
        <v>77</v>
      </c>
      <c r="E47" s="42" t="s">
        <v>264</v>
      </c>
      <c r="F47" s="53">
        <v>27</v>
      </c>
      <c r="G47" s="42" t="s">
        <v>45</v>
      </c>
      <c r="H47" s="42"/>
    </row>
    <row r="48" spans="1:8" x14ac:dyDescent="0.25">
      <c r="A48" s="53">
        <v>28</v>
      </c>
      <c r="B48" s="40" t="s">
        <v>346</v>
      </c>
      <c r="C48" s="50" t="s">
        <v>39</v>
      </c>
      <c r="D48" s="53">
        <v>74</v>
      </c>
      <c r="E48" s="42" t="s">
        <v>264</v>
      </c>
      <c r="F48" s="53">
        <v>28</v>
      </c>
      <c r="G48" s="42" t="s">
        <v>44</v>
      </c>
      <c r="H48" s="42"/>
    </row>
    <row r="49" spans="1:8" x14ac:dyDescent="0.25">
      <c r="C49" s="17"/>
      <c r="D49" s="2"/>
      <c r="G49" s="17"/>
      <c r="H49" s="17"/>
    </row>
    <row r="50" spans="1:8" x14ac:dyDescent="0.25">
      <c r="A50" s="1" t="s">
        <v>357</v>
      </c>
      <c r="B50" s="1" t="s">
        <v>85</v>
      </c>
    </row>
    <row r="51" spans="1:8" x14ac:dyDescent="0.25">
      <c r="B51" s="1" t="s">
        <v>247</v>
      </c>
    </row>
    <row r="52" spans="1:8" x14ac:dyDescent="0.25">
      <c r="B52" s="1" t="s">
        <v>362</v>
      </c>
    </row>
    <row r="53" spans="1:8" x14ac:dyDescent="0.25">
      <c r="B53" s="1" t="s">
        <v>363</v>
      </c>
    </row>
    <row r="55" spans="1:8" x14ac:dyDescent="0.25">
      <c r="B55" s="1" t="s">
        <v>89</v>
      </c>
      <c r="C55" s="1" t="s">
        <v>90</v>
      </c>
    </row>
    <row r="56" spans="1:8" x14ac:dyDescent="0.25">
      <c r="B56" s="1" t="s">
        <v>86</v>
      </c>
      <c r="C56" s="1" t="s">
        <v>91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opLeftCell="A59" workbookViewId="0">
      <selection activeCell="B66" sqref="B66:C73"/>
    </sheetView>
  </sheetViews>
  <sheetFormatPr defaultColWidth="25.77734375" defaultRowHeight="13.2" x14ac:dyDescent="0.25"/>
  <cols>
    <col min="1" max="1" width="6.6640625" style="1" customWidth="1"/>
    <col min="2" max="2" width="21" style="1" customWidth="1"/>
    <col min="3" max="3" width="25.77734375" style="1"/>
    <col min="4" max="4" width="12" style="2" customWidth="1"/>
    <col min="5" max="9" width="13.44140625" style="2" customWidth="1"/>
    <col min="10" max="16384" width="25.7773437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1" x14ac:dyDescent="0.25">
      <c r="A4" s="1" t="s">
        <v>21</v>
      </c>
    </row>
    <row r="5" spans="1:1" x14ac:dyDescent="0.25">
      <c r="A5" s="1" t="s">
        <v>22</v>
      </c>
    </row>
    <row r="7" spans="1:1" x14ac:dyDescent="0.25">
      <c r="A7" s="1" t="s">
        <v>2</v>
      </c>
    </row>
    <row r="8" spans="1:1" x14ac:dyDescent="0.25">
      <c r="A8" s="1" t="s">
        <v>204</v>
      </c>
    </row>
    <row r="10" spans="1:1" x14ac:dyDescent="0.25">
      <c r="A10" s="1" t="s">
        <v>234</v>
      </c>
    </row>
    <row r="11" spans="1:1" x14ac:dyDescent="0.25">
      <c r="A11" s="1" t="s">
        <v>218</v>
      </c>
    </row>
    <row r="12" spans="1:1" x14ac:dyDescent="0.25">
      <c r="A12" s="1" t="s">
        <v>219</v>
      </c>
    </row>
    <row r="14" spans="1:1" x14ac:dyDescent="0.25">
      <c r="A14" s="1" t="s">
        <v>223</v>
      </c>
    </row>
    <row r="15" spans="1:1" x14ac:dyDescent="0.25">
      <c r="A15" s="1" t="s">
        <v>235</v>
      </c>
    </row>
    <row r="17" spans="1:9" x14ac:dyDescent="0.25">
      <c r="A17" s="1" t="s">
        <v>135</v>
      </c>
    </row>
    <row r="19" spans="1:9" x14ac:dyDescent="0.25">
      <c r="B19"/>
      <c r="E19" s="47"/>
    </row>
    <row r="20" spans="1:9" ht="26.4" x14ac:dyDescent="0.25">
      <c r="A20" s="45" t="s">
        <v>29</v>
      </c>
      <c r="B20" s="45" t="s">
        <v>31</v>
      </c>
      <c r="C20" s="45" t="s">
        <v>30</v>
      </c>
      <c r="D20" s="45" t="s">
        <v>32</v>
      </c>
      <c r="E20" s="45" t="s">
        <v>212</v>
      </c>
      <c r="F20" s="45" t="s">
        <v>36</v>
      </c>
      <c r="G20" s="45" t="s">
        <v>37</v>
      </c>
      <c r="H20" s="45" t="s">
        <v>33</v>
      </c>
      <c r="I20" s="45" t="s">
        <v>38</v>
      </c>
    </row>
    <row r="21" spans="1:9" x14ac:dyDescent="0.25">
      <c r="A21" s="48">
        <v>1</v>
      </c>
      <c r="B21" s="40" t="s">
        <v>138</v>
      </c>
      <c r="C21" s="40" t="s">
        <v>70</v>
      </c>
      <c r="D21" s="48" t="s">
        <v>161</v>
      </c>
      <c r="E21" s="49">
        <v>5.9016203703703703E-2</v>
      </c>
      <c r="F21" s="48">
        <v>1</v>
      </c>
      <c r="G21" s="48" t="s">
        <v>224</v>
      </c>
      <c r="H21" s="48" t="s">
        <v>44</v>
      </c>
      <c r="I21" s="48" t="s">
        <v>44</v>
      </c>
    </row>
    <row r="22" spans="1:9" x14ac:dyDescent="0.25">
      <c r="A22" s="48">
        <v>2</v>
      </c>
      <c r="B22" s="40" t="s">
        <v>141</v>
      </c>
      <c r="C22" s="40" t="s">
        <v>47</v>
      </c>
      <c r="D22" s="48" t="s">
        <v>159</v>
      </c>
      <c r="E22" s="49">
        <v>6.2557870370370375E-2</v>
      </c>
      <c r="F22" s="48">
        <v>2</v>
      </c>
      <c r="G22" s="48" t="s">
        <v>225</v>
      </c>
      <c r="H22" s="48" t="s">
        <v>44</v>
      </c>
      <c r="I22" s="48" t="s">
        <v>44</v>
      </c>
    </row>
    <row r="23" spans="1:9" x14ac:dyDescent="0.25">
      <c r="A23" s="48">
        <v>3</v>
      </c>
      <c r="B23" s="40" t="s">
        <v>137</v>
      </c>
      <c r="C23" s="40" t="s">
        <v>70</v>
      </c>
      <c r="D23" s="48" t="s">
        <v>210</v>
      </c>
      <c r="E23" s="49">
        <v>6.2569444444444441E-2</v>
      </c>
      <c r="F23" s="48">
        <v>3</v>
      </c>
      <c r="G23" s="48" t="s">
        <v>226</v>
      </c>
      <c r="H23" s="48" t="s">
        <v>44</v>
      </c>
      <c r="I23" s="48" t="s">
        <v>44</v>
      </c>
    </row>
    <row r="24" spans="1:9" x14ac:dyDescent="0.25">
      <c r="A24" s="48">
        <v>4</v>
      </c>
      <c r="B24" s="40" t="s">
        <v>143</v>
      </c>
      <c r="C24" s="40" t="s">
        <v>39</v>
      </c>
      <c r="D24" s="48" t="s">
        <v>227</v>
      </c>
      <c r="E24" s="49">
        <v>6.3009259259259265E-2</v>
      </c>
      <c r="F24" s="48">
        <v>4</v>
      </c>
      <c r="G24" s="48">
        <v>25</v>
      </c>
      <c r="H24" s="48" t="s">
        <v>44</v>
      </c>
      <c r="I24" s="48" t="s">
        <v>44</v>
      </c>
    </row>
    <row r="25" spans="1:9" x14ac:dyDescent="0.25">
      <c r="A25" s="48">
        <v>5</v>
      </c>
      <c r="B25" s="40" t="s">
        <v>136</v>
      </c>
      <c r="C25" s="40" t="s">
        <v>46</v>
      </c>
      <c r="D25" s="48" t="s">
        <v>207</v>
      </c>
      <c r="E25" s="49">
        <v>6.3368055555555566E-2</v>
      </c>
      <c r="F25" s="48">
        <v>5</v>
      </c>
      <c r="G25" s="48">
        <v>24</v>
      </c>
      <c r="H25" s="48" t="s">
        <v>44</v>
      </c>
      <c r="I25" s="48" t="s">
        <v>44</v>
      </c>
    </row>
    <row r="26" spans="1:9" x14ac:dyDescent="0.25">
      <c r="A26" s="48">
        <v>6</v>
      </c>
      <c r="B26" s="40" t="s">
        <v>160</v>
      </c>
      <c r="C26" s="40" t="s">
        <v>69</v>
      </c>
      <c r="D26" s="48" t="s">
        <v>226</v>
      </c>
      <c r="E26" s="49">
        <v>6.3935185185185192E-2</v>
      </c>
      <c r="F26" s="48">
        <v>6</v>
      </c>
      <c r="G26" s="48">
        <v>23</v>
      </c>
      <c r="H26" s="48" t="s">
        <v>44</v>
      </c>
      <c r="I26" s="48" t="s">
        <v>44</v>
      </c>
    </row>
    <row r="27" spans="1:9" x14ac:dyDescent="0.25">
      <c r="A27" s="48">
        <v>7</v>
      </c>
      <c r="B27" s="40" t="s">
        <v>174</v>
      </c>
      <c r="C27" s="40" t="s">
        <v>76</v>
      </c>
      <c r="D27" s="48">
        <v>29</v>
      </c>
      <c r="E27" s="49">
        <v>6.4513888888888885E-2</v>
      </c>
      <c r="F27" s="48">
        <v>7</v>
      </c>
      <c r="G27" s="48">
        <v>22</v>
      </c>
      <c r="H27" s="48" t="s">
        <v>44</v>
      </c>
      <c r="I27" s="48" t="s">
        <v>44</v>
      </c>
    </row>
    <row r="28" spans="1:9" x14ac:dyDescent="0.25">
      <c r="A28" s="48">
        <v>8</v>
      </c>
      <c r="B28" s="40" t="s">
        <v>171</v>
      </c>
      <c r="C28" s="40" t="s">
        <v>69</v>
      </c>
      <c r="D28" s="48" t="s">
        <v>165</v>
      </c>
      <c r="E28" s="49">
        <v>6.4791666666666664E-2</v>
      </c>
      <c r="F28" s="48">
        <v>8</v>
      </c>
      <c r="G28" s="48">
        <v>21</v>
      </c>
      <c r="H28" s="48" t="s">
        <v>44</v>
      </c>
      <c r="I28" s="48" t="s">
        <v>44</v>
      </c>
    </row>
    <row r="29" spans="1:9" x14ac:dyDescent="0.25">
      <c r="A29" s="48">
        <v>9</v>
      </c>
      <c r="B29" s="40" t="s">
        <v>145</v>
      </c>
      <c r="C29" s="40" t="s">
        <v>39</v>
      </c>
      <c r="D29" s="48" t="s">
        <v>209</v>
      </c>
      <c r="E29" s="49">
        <v>6.5462962962962959E-2</v>
      </c>
      <c r="F29" s="48">
        <v>9</v>
      </c>
      <c r="G29" s="48">
        <v>20</v>
      </c>
      <c r="H29" s="48" t="s">
        <v>44</v>
      </c>
      <c r="I29" s="48" t="s">
        <v>44</v>
      </c>
    </row>
    <row r="30" spans="1:9" x14ac:dyDescent="0.25">
      <c r="A30" s="48">
        <v>10</v>
      </c>
      <c r="B30" s="40" t="s">
        <v>151</v>
      </c>
      <c r="C30" s="40" t="s">
        <v>49</v>
      </c>
      <c r="D30" s="48" t="s">
        <v>64</v>
      </c>
      <c r="E30" s="49">
        <v>6.5682870370370364E-2</v>
      </c>
      <c r="F30" s="48">
        <v>10</v>
      </c>
      <c r="G30" s="48">
        <v>19</v>
      </c>
      <c r="H30" s="48" t="s">
        <v>44</v>
      </c>
      <c r="I30" s="48" t="s">
        <v>44</v>
      </c>
    </row>
    <row r="31" spans="1:9" x14ac:dyDescent="0.25">
      <c r="A31" s="48">
        <v>11</v>
      </c>
      <c r="B31" s="40" t="s">
        <v>125</v>
      </c>
      <c r="C31" s="40" t="s">
        <v>46</v>
      </c>
      <c r="D31" s="48">
        <v>28</v>
      </c>
      <c r="E31" s="49">
        <v>6.5682870370370364E-2</v>
      </c>
      <c r="F31" s="48">
        <v>10</v>
      </c>
      <c r="G31" s="48">
        <v>19</v>
      </c>
      <c r="H31" s="48" t="s">
        <v>44</v>
      </c>
      <c r="I31" s="48" t="s">
        <v>44</v>
      </c>
    </row>
    <row r="32" spans="1:9" x14ac:dyDescent="0.25">
      <c r="A32" s="48">
        <v>12</v>
      </c>
      <c r="B32" s="40" t="s">
        <v>214</v>
      </c>
      <c r="C32" s="40" t="s">
        <v>76</v>
      </c>
      <c r="D32" s="48" t="s">
        <v>228</v>
      </c>
      <c r="E32" s="49">
        <v>6.6226851851851856E-2</v>
      </c>
      <c r="F32" s="48">
        <v>12</v>
      </c>
      <c r="G32" s="48">
        <v>17</v>
      </c>
      <c r="H32" s="48" t="s">
        <v>44</v>
      </c>
      <c r="I32" s="48" t="s">
        <v>44</v>
      </c>
    </row>
    <row r="33" spans="1:9" x14ac:dyDescent="0.25">
      <c r="A33" s="48">
        <v>13</v>
      </c>
      <c r="B33" s="40" t="s">
        <v>124</v>
      </c>
      <c r="C33" s="40" t="s">
        <v>46</v>
      </c>
      <c r="D33" s="48" t="s">
        <v>63</v>
      </c>
      <c r="E33" s="49">
        <v>6.6747685185185188E-2</v>
      </c>
      <c r="F33" s="48">
        <v>13</v>
      </c>
      <c r="G33" s="48">
        <v>16</v>
      </c>
      <c r="H33" s="48" t="s">
        <v>44</v>
      </c>
      <c r="I33" s="48" t="s">
        <v>44</v>
      </c>
    </row>
    <row r="34" spans="1:9" x14ac:dyDescent="0.25">
      <c r="A34" s="48">
        <v>14</v>
      </c>
      <c r="B34" s="40" t="s">
        <v>156</v>
      </c>
      <c r="C34" s="40" t="s">
        <v>49</v>
      </c>
      <c r="D34" s="48" t="s">
        <v>208</v>
      </c>
      <c r="E34" s="49">
        <v>6.6770833333333335E-2</v>
      </c>
      <c r="F34" s="48">
        <v>14</v>
      </c>
      <c r="G34" s="48">
        <v>15</v>
      </c>
      <c r="H34" s="48" t="s">
        <v>44</v>
      </c>
      <c r="I34" s="48" t="s">
        <v>44</v>
      </c>
    </row>
    <row r="35" spans="1:9" x14ac:dyDescent="0.25">
      <c r="A35" s="48">
        <v>15</v>
      </c>
      <c r="B35" s="40" t="s">
        <v>142</v>
      </c>
      <c r="C35" s="40" t="s">
        <v>39</v>
      </c>
      <c r="D35" s="48">
        <v>10</v>
      </c>
      <c r="E35" s="49">
        <v>6.761574074074074E-2</v>
      </c>
      <c r="F35" s="48">
        <v>15</v>
      </c>
      <c r="G35" s="48">
        <v>14</v>
      </c>
      <c r="H35" s="48" t="s">
        <v>44</v>
      </c>
      <c r="I35" s="48" t="s">
        <v>44</v>
      </c>
    </row>
    <row r="36" spans="1:9" x14ac:dyDescent="0.25">
      <c r="A36" s="48">
        <v>16</v>
      </c>
      <c r="B36" s="40" t="s">
        <v>131</v>
      </c>
      <c r="C36" s="40" t="s">
        <v>48</v>
      </c>
      <c r="D36" s="48" t="s">
        <v>152</v>
      </c>
      <c r="E36" s="49">
        <v>6.8240740740740741E-2</v>
      </c>
      <c r="F36" s="48">
        <v>16</v>
      </c>
      <c r="G36" s="48">
        <v>13</v>
      </c>
      <c r="H36" s="48" t="s">
        <v>44</v>
      </c>
      <c r="I36" s="48" t="s">
        <v>44</v>
      </c>
    </row>
    <row r="37" spans="1:9" x14ac:dyDescent="0.25">
      <c r="A37" s="48">
        <v>17</v>
      </c>
      <c r="B37" s="40" t="s">
        <v>236</v>
      </c>
      <c r="C37" s="40" t="s">
        <v>49</v>
      </c>
      <c r="D37" s="48" t="s">
        <v>229</v>
      </c>
      <c r="E37" s="49">
        <v>6.8472222222222226E-2</v>
      </c>
      <c r="F37" s="48">
        <v>17</v>
      </c>
      <c r="G37" s="48">
        <v>12</v>
      </c>
      <c r="H37" s="48" t="s">
        <v>44</v>
      </c>
      <c r="I37" s="48" t="s">
        <v>44</v>
      </c>
    </row>
    <row r="38" spans="1:9" x14ac:dyDescent="0.25">
      <c r="A38" s="48">
        <v>18</v>
      </c>
      <c r="B38" s="40" t="s">
        <v>128</v>
      </c>
      <c r="C38" s="40" t="s">
        <v>47</v>
      </c>
      <c r="D38" s="48">
        <v>35</v>
      </c>
      <c r="E38" s="49">
        <v>6.8692129629629631E-2</v>
      </c>
      <c r="F38" s="48">
        <v>18</v>
      </c>
      <c r="G38" s="48">
        <v>11</v>
      </c>
      <c r="H38" s="48" t="s">
        <v>44</v>
      </c>
      <c r="I38" s="48" t="s">
        <v>44</v>
      </c>
    </row>
    <row r="39" spans="1:9" x14ac:dyDescent="0.25">
      <c r="A39" s="48">
        <v>19</v>
      </c>
      <c r="B39" s="40" t="s">
        <v>162</v>
      </c>
      <c r="C39" s="40" t="s">
        <v>69</v>
      </c>
      <c r="D39" s="48" t="s">
        <v>231</v>
      </c>
      <c r="E39" s="49">
        <v>6.8900462962962969E-2</v>
      </c>
      <c r="F39" s="48">
        <v>19</v>
      </c>
      <c r="G39" s="48">
        <v>10</v>
      </c>
      <c r="H39" s="48" t="s">
        <v>44</v>
      </c>
      <c r="I39" s="48" t="s">
        <v>44</v>
      </c>
    </row>
    <row r="40" spans="1:9" x14ac:dyDescent="0.25">
      <c r="A40" s="48">
        <v>20</v>
      </c>
      <c r="B40" s="40" t="s">
        <v>149</v>
      </c>
      <c r="C40" s="40" t="s">
        <v>48</v>
      </c>
      <c r="D40" s="48" t="s">
        <v>153</v>
      </c>
      <c r="E40" s="49">
        <v>6.9259259259259257E-2</v>
      </c>
      <c r="F40" s="48">
        <v>20</v>
      </c>
      <c r="G40" s="48">
        <v>9</v>
      </c>
      <c r="H40" s="48" t="s">
        <v>45</v>
      </c>
      <c r="I40" s="48" t="s">
        <v>44</v>
      </c>
    </row>
    <row r="41" spans="1:9" x14ac:dyDescent="0.25">
      <c r="A41" s="48">
        <v>21</v>
      </c>
      <c r="B41" s="40" t="s">
        <v>147</v>
      </c>
      <c r="C41" s="40" t="s">
        <v>75</v>
      </c>
      <c r="D41" s="48">
        <v>11</v>
      </c>
      <c r="E41" s="49">
        <v>6.9444444444444434E-2</v>
      </c>
      <c r="F41" s="48">
        <v>21</v>
      </c>
      <c r="G41" s="48">
        <v>8</v>
      </c>
      <c r="H41" s="48" t="s">
        <v>44</v>
      </c>
      <c r="I41" s="48" t="s">
        <v>45</v>
      </c>
    </row>
    <row r="42" spans="1:9" x14ac:dyDescent="0.25">
      <c r="A42" s="48">
        <v>22</v>
      </c>
      <c r="B42" s="40" t="s">
        <v>123</v>
      </c>
      <c r="C42" s="40" t="s">
        <v>46</v>
      </c>
      <c r="D42" s="48">
        <v>39</v>
      </c>
      <c r="E42" s="49">
        <v>6.9513888888888889E-2</v>
      </c>
      <c r="F42" s="48">
        <v>22</v>
      </c>
      <c r="G42" s="48">
        <v>7</v>
      </c>
      <c r="H42" s="48" t="s">
        <v>44</v>
      </c>
      <c r="I42" s="48" t="s">
        <v>45</v>
      </c>
    </row>
    <row r="43" spans="1:9" x14ac:dyDescent="0.25">
      <c r="A43" s="48">
        <v>23</v>
      </c>
      <c r="B43" s="40" t="s">
        <v>148</v>
      </c>
      <c r="C43" s="40" t="s">
        <v>48</v>
      </c>
      <c r="D43" s="48" t="s">
        <v>232</v>
      </c>
      <c r="E43" s="49">
        <v>6.9560185185185183E-2</v>
      </c>
      <c r="F43" s="48">
        <v>23</v>
      </c>
      <c r="G43" s="48">
        <v>6</v>
      </c>
      <c r="H43" s="48" t="s">
        <v>45</v>
      </c>
      <c r="I43" s="48" t="s">
        <v>45</v>
      </c>
    </row>
    <row r="44" spans="1:9" x14ac:dyDescent="0.25">
      <c r="A44" s="48">
        <v>24</v>
      </c>
      <c r="B44" s="40" t="s">
        <v>164</v>
      </c>
      <c r="C44" s="40" t="s">
        <v>76</v>
      </c>
      <c r="D44" s="48" t="s">
        <v>230</v>
      </c>
      <c r="E44" s="49">
        <v>6.9652777777777772E-2</v>
      </c>
      <c r="F44" s="48">
        <v>24</v>
      </c>
      <c r="G44" s="48">
        <v>5</v>
      </c>
      <c r="H44" s="48" t="s">
        <v>44</v>
      </c>
      <c r="I44" s="48" t="s">
        <v>45</v>
      </c>
    </row>
    <row r="45" spans="1:9" x14ac:dyDescent="0.25">
      <c r="A45" s="48">
        <v>25</v>
      </c>
      <c r="B45" s="40" t="s">
        <v>172</v>
      </c>
      <c r="C45" s="40" t="s">
        <v>69</v>
      </c>
      <c r="D45" s="48" t="s">
        <v>205</v>
      </c>
      <c r="E45" s="49">
        <v>6.9756944444444455E-2</v>
      </c>
      <c r="F45" s="48">
        <v>25</v>
      </c>
      <c r="G45" s="48">
        <v>4</v>
      </c>
      <c r="H45" s="48" t="s">
        <v>44</v>
      </c>
      <c r="I45" s="48" t="s">
        <v>45</v>
      </c>
    </row>
    <row r="46" spans="1:9" x14ac:dyDescent="0.25">
      <c r="A46" s="48">
        <v>26</v>
      </c>
      <c r="B46" s="40" t="s">
        <v>139</v>
      </c>
      <c r="C46" s="40" t="s">
        <v>47</v>
      </c>
      <c r="D46" s="48" t="s">
        <v>206</v>
      </c>
      <c r="E46" s="49">
        <v>7.0208333333333331E-2</v>
      </c>
      <c r="F46" s="48">
        <v>26</v>
      </c>
      <c r="G46" s="48"/>
      <c r="H46" s="48" t="s">
        <v>44</v>
      </c>
      <c r="I46" s="48" t="s">
        <v>45</v>
      </c>
    </row>
    <row r="47" spans="1:9" x14ac:dyDescent="0.25">
      <c r="A47" s="48">
        <v>27</v>
      </c>
      <c r="B47" s="40" t="s">
        <v>237</v>
      </c>
      <c r="C47" s="40" t="s">
        <v>239</v>
      </c>
      <c r="D47" s="48">
        <v>26</v>
      </c>
      <c r="E47" s="49">
        <v>7.0231481481481492E-2</v>
      </c>
      <c r="F47" s="48">
        <v>27</v>
      </c>
      <c r="G47" s="48"/>
      <c r="H47" s="48" t="s">
        <v>44</v>
      </c>
      <c r="I47" s="48" t="s">
        <v>45</v>
      </c>
    </row>
    <row r="48" spans="1:9" x14ac:dyDescent="0.25">
      <c r="A48" s="48">
        <v>28</v>
      </c>
      <c r="B48" s="40" t="s">
        <v>127</v>
      </c>
      <c r="C48" s="40" t="s">
        <v>70</v>
      </c>
      <c r="D48" s="48" t="s">
        <v>13</v>
      </c>
      <c r="E48" s="49">
        <v>7.104166666666667E-2</v>
      </c>
      <c r="F48" s="48">
        <v>28</v>
      </c>
      <c r="G48" s="48"/>
      <c r="H48" s="48" t="s">
        <v>44</v>
      </c>
      <c r="I48" s="48" t="s">
        <v>45</v>
      </c>
    </row>
    <row r="49" spans="1:9" x14ac:dyDescent="0.25">
      <c r="A49" s="48">
        <v>29</v>
      </c>
      <c r="B49" s="40" t="s">
        <v>238</v>
      </c>
      <c r="C49" s="40" t="s">
        <v>49</v>
      </c>
      <c r="D49" s="48" t="s">
        <v>233</v>
      </c>
      <c r="E49" s="49">
        <v>7.1134259259259258E-2</v>
      </c>
      <c r="F49" s="48">
        <v>29</v>
      </c>
      <c r="G49" s="48"/>
      <c r="H49" s="48" t="s">
        <v>44</v>
      </c>
      <c r="I49" s="48" t="s">
        <v>45</v>
      </c>
    </row>
    <row r="50" spans="1:9" x14ac:dyDescent="0.25">
      <c r="A50" s="48">
        <v>30</v>
      </c>
      <c r="B50" s="40" t="s">
        <v>140</v>
      </c>
      <c r="C50" s="40" t="s">
        <v>47</v>
      </c>
      <c r="D50" s="48" t="s">
        <v>20</v>
      </c>
      <c r="E50" s="49">
        <v>7.1481481481481479E-2</v>
      </c>
      <c r="F50" s="48">
        <v>30</v>
      </c>
      <c r="G50" s="48"/>
      <c r="H50" s="48" t="s">
        <v>44</v>
      </c>
      <c r="I50" s="48" t="s">
        <v>45</v>
      </c>
    </row>
    <row r="51" spans="1:9" x14ac:dyDescent="0.25">
      <c r="A51" s="48">
        <v>31</v>
      </c>
      <c r="B51" s="40" t="s">
        <v>144</v>
      </c>
      <c r="C51" s="40" t="s">
        <v>39</v>
      </c>
      <c r="D51" s="48">
        <v>1</v>
      </c>
      <c r="E51" s="49">
        <v>7.3078703703703715E-2</v>
      </c>
      <c r="F51" s="48">
        <v>31</v>
      </c>
      <c r="G51" s="48"/>
      <c r="H51" s="48" t="s">
        <v>45</v>
      </c>
      <c r="I51" s="48" t="s">
        <v>45</v>
      </c>
    </row>
    <row r="52" spans="1:9" x14ac:dyDescent="0.25">
      <c r="A52" s="48">
        <v>32</v>
      </c>
      <c r="B52" s="40" t="s">
        <v>240</v>
      </c>
      <c r="C52" s="40" t="s">
        <v>46</v>
      </c>
      <c r="D52" s="48">
        <v>36</v>
      </c>
      <c r="E52" s="49">
        <v>7.3576388888888886E-2</v>
      </c>
      <c r="F52" s="48">
        <v>32</v>
      </c>
      <c r="G52" s="48"/>
      <c r="H52" s="48" t="s">
        <v>44</v>
      </c>
      <c r="I52" s="48" t="s">
        <v>45</v>
      </c>
    </row>
    <row r="53" spans="1:9" x14ac:dyDescent="0.25">
      <c r="A53" s="48">
        <v>33</v>
      </c>
      <c r="B53" s="40" t="s">
        <v>130</v>
      </c>
      <c r="C53" s="40" t="s">
        <v>75</v>
      </c>
      <c r="D53" s="48">
        <v>22</v>
      </c>
      <c r="E53" s="49">
        <v>7.4421296296296291E-2</v>
      </c>
      <c r="F53" s="48">
        <v>33</v>
      </c>
      <c r="G53" s="48"/>
      <c r="H53" s="48" t="s">
        <v>44</v>
      </c>
      <c r="I53" s="48"/>
    </row>
    <row r="54" spans="1:9" x14ac:dyDescent="0.25">
      <c r="A54" s="48">
        <v>34</v>
      </c>
      <c r="B54" s="40" t="s">
        <v>150</v>
      </c>
      <c r="C54" s="40" t="s">
        <v>70</v>
      </c>
      <c r="D54" s="48">
        <v>5</v>
      </c>
      <c r="E54" s="49">
        <v>7.5567129629629637E-2</v>
      </c>
      <c r="F54" s="48">
        <v>34</v>
      </c>
      <c r="G54" s="48"/>
      <c r="H54" s="48" t="s">
        <v>44</v>
      </c>
      <c r="I54" s="48"/>
    </row>
    <row r="55" spans="1:9" x14ac:dyDescent="0.25">
      <c r="A55" s="48">
        <v>35</v>
      </c>
      <c r="B55" s="40" t="s">
        <v>241</v>
      </c>
      <c r="C55" s="40" t="s">
        <v>213</v>
      </c>
      <c r="D55" s="48">
        <v>143</v>
      </c>
      <c r="E55" s="49">
        <v>7.5682870370370373E-2</v>
      </c>
      <c r="F55" s="48" t="s">
        <v>120</v>
      </c>
      <c r="G55" s="48"/>
      <c r="H55" s="48" t="s">
        <v>44</v>
      </c>
      <c r="I55" s="48"/>
    </row>
    <row r="56" spans="1:9" x14ac:dyDescent="0.25">
      <c r="A56" s="48">
        <v>36</v>
      </c>
      <c r="B56" s="40" t="s">
        <v>146</v>
      </c>
      <c r="C56" s="40" t="s">
        <v>75</v>
      </c>
      <c r="D56" s="48">
        <v>2</v>
      </c>
      <c r="E56" s="49">
        <v>7.9756944444444436E-2</v>
      </c>
      <c r="F56" s="48">
        <v>35</v>
      </c>
      <c r="G56" s="48"/>
      <c r="H56" s="48" t="s">
        <v>45</v>
      </c>
      <c r="I56" s="48"/>
    </row>
    <row r="57" spans="1:9" x14ac:dyDescent="0.25">
      <c r="A57" s="48">
        <v>37</v>
      </c>
      <c r="B57" s="40" t="s">
        <v>126</v>
      </c>
      <c r="C57" s="40" t="s">
        <v>70</v>
      </c>
      <c r="D57" s="48">
        <v>12</v>
      </c>
      <c r="E57" s="49">
        <v>8.335648148148149E-2</v>
      </c>
      <c r="F57" s="48">
        <v>36</v>
      </c>
      <c r="G57" s="48"/>
      <c r="H57" s="48" t="s">
        <v>45</v>
      </c>
      <c r="I57" s="48"/>
    </row>
    <row r="58" spans="1:9" x14ac:dyDescent="0.25">
      <c r="A58" s="48">
        <v>38</v>
      </c>
      <c r="B58" s="40" t="s">
        <v>242</v>
      </c>
      <c r="C58" s="40" t="s">
        <v>244</v>
      </c>
      <c r="D58" s="48">
        <v>41</v>
      </c>
      <c r="E58" s="49">
        <v>8.4594907407407396E-2</v>
      </c>
      <c r="F58" s="48">
        <v>37</v>
      </c>
      <c r="G58" s="48"/>
      <c r="H58" s="48" t="s">
        <v>44</v>
      </c>
      <c r="I58" s="48"/>
    </row>
    <row r="59" spans="1:9" x14ac:dyDescent="0.25">
      <c r="A59" s="48">
        <v>39</v>
      </c>
      <c r="B59" s="40" t="s">
        <v>173</v>
      </c>
      <c r="C59" s="40" t="s">
        <v>76</v>
      </c>
      <c r="D59" s="48">
        <v>8</v>
      </c>
      <c r="E59" s="49">
        <v>8.50462962962963E-2</v>
      </c>
      <c r="F59" s="48">
        <v>38</v>
      </c>
      <c r="G59" s="48"/>
      <c r="H59" s="48" t="s">
        <v>44</v>
      </c>
      <c r="I59" s="48"/>
    </row>
    <row r="60" spans="1:9" x14ac:dyDescent="0.25">
      <c r="A60" s="48">
        <v>40</v>
      </c>
      <c r="B60" s="40" t="s">
        <v>194</v>
      </c>
      <c r="C60" s="40" t="s">
        <v>244</v>
      </c>
      <c r="D60" s="48">
        <v>14</v>
      </c>
      <c r="E60" s="49">
        <v>8.5555555555555551E-2</v>
      </c>
      <c r="F60" s="48">
        <v>39</v>
      </c>
      <c r="G60" s="48"/>
      <c r="H60" s="48" t="s">
        <v>45</v>
      </c>
      <c r="I60" s="48"/>
    </row>
    <row r="61" spans="1:9" x14ac:dyDescent="0.25">
      <c r="A61" s="48">
        <v>41</v>
      </c>
      <c r="B61" s="40" t="s">
        <v>192</v>
      </c>
      <c r="C61" s="40" t="s">
        <v>245</v>
      </c>
      <c r="D61" s="48">
        <v>30</v>
      </c>
      <c r="E61" s="49">
        <v>8.5914351851851853E-2</v>
      </c>
      <c r="F61" s="48">
        <v>40</v>
      </c>
      <c r="G61" s="48"/>
      <c r="H61" s="48" t="s">
        <v>44</v>
      </c>
      <c r="I61" s="48"/>
    </row>
    <row r="62" spans="1:9" x14ac:dyDescent="0.25">
      <c r="A62" s="48">
        <v>42</v>
      </c>
      <c r="B62" s="40" t="s">
        <v>243</v>
      </c>
      <c r="C62" s="40" t="s">
        <v>245</v>
      </c>
      <c r="D62" s="48">
        <v>19</v>
      </c>
      <c r="E62" s="49">
        <v>9.2951388888888889E-2</v>
      </c>
      <c r="F62" s="48">
        <v>41</v>
      </c>
      <c r="G62" s="48"/>
      <c r="H62" s="48" t="s">
        <v>45</v>
      </c>
      <c r="I62" s="48"/>
    </row>
    <row r="63" spans="1:9" x14ac:dyDescent="0.25">
      <c r="A63" s="48">
        <v>43</v>
      </c>
      <c r="B63" s="40" t="s">
        <v>129</v>
      </c>
      <c r="C63" s="40" t="s">
        <v>75</v>
      </c>
      <c r="D63" s="48">
        <v>33</v>
      </c>
      <c r="E63" s="50" t="s">
        <v>246</v>
      </c>
      <c r="F63" s="48"/>
      <c r="G63" s="48"/>
      <c r="H63" s="48"/>
      <c r="I63" s="48"/>
    </row>
    <row r="66" spans="2:3" x14ac:dyDescent="0.25">
      <c r="B66" s="1" t="s">
        <v>85</v>
      </c>
    </row>
    <row r="67" spans="2:3" x14ac:dyDescent="0.25">
      <c r="B67" s="1" t="s">
        <v>247</v>
      </c>
    </row>
    <row r="68" spans="2:3" x14ac:dyDescent="0.25">
      <c r="B68" s="1" t="s">
        <v>248</v>
      </c>
    </row>
    <row r="69" spans="2:3" x14ac:dyDescent="0.25">
      <c r="B69" s="1" t="s">
        <v>249</v>
      </c>
    </row>
    <row r="71" spans="2:3" x14ac:dyDescent="0.25">
      <c r="B71" s="1" t="s">
        <v>89</v>
      </c>
      <c r="C71" s="1" t="s">
        <v>90</v>
      </c>
    </row>
    <row r="72" spans="2:3" x14ac:dyDescent="0.25">
      <c r="B72" s="1" t="s">
        <v>86</v>
      </c>
      <c r="C72" s="1" t="s">
        <v>91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opLeftCell="A19" workbookViewId="0">
      <selection activeCell="C29" sqref="C29"/>
    </sheetView>
  </sheetViews>
  <sheetFormatPr defaultColWidth="12.33203125" defaultRowHeight="13.2" x14ac:dyDescent="0.25"/>
  <cols>
    <col min="1" max="1" width="9.77734375" style="1" customWidth="1"/>
    <col min="2" max="2" width="21.5546875" style="1" customWidth="1"/>
    <col min="3" max="3" width="23.21875" style="1" customWidth="1"/>
    <col min="4" max="4" width="12.33203125" style="1"/>
    <col min="5" max="5" width="12.33203125" style="17"/>
    <col min="6" max="6" width="12.33203125" style="1"/>
    <col min="7" max="7" width="12.33203125" style="17"/>
    <col min="8" max="8" width="12.33203125" style="1"/>
    <col min="9" max="9" width="13.109375" style="1" customWidth="1"/>
    <col min="10" max="16384" width="12.33203125" style="1"/>
  </cols>
  <sheetData>
    <row r="1" spans="1:10" x14ac:dyDescent="0.25">
      <c r="A1" s="1" t="s">
        <v>0</v>
      </c>
      <c r="D1" s="2"/>
      <c r="E1" s="2"/>
      <c r="F1" s="2"/>
      <c r="G1" s="2"/>
      <c r="H1" s="2"/>
      <c r="I1" s="2"/>
      <c r="J1" s="46"/>
    </row>
    <row r="2" spans="1:10" x14ac:dyDescent="0.25">
      <c r="A2" s="1" t="s">
        <v>1</v>
      </c>
      <c r="D2" s="2"/>
      <c r="E2" s="2"/>
      <c r="F2" s="2"/>
      <c r="G2" s="2"/>
      <c r="H2" s="2"/>
      <c r="I2" s="2"/>
      <c r="J2" s="46"/>
    </row>
    <row r="3" spans="1:10" x14ac:dyDescent="0.25">
      <c r="D3" s="2"/>
      <c r="E3" s="2"/>
      <c r="F3" s="2"/>
      <c r="G3" s="2"/>
      <c r="H3" s="2"/>
      <c r="I3" s="2"/>
      <c r="J3" s="46"/>
    </row>
    <row r="4" spans="1:10" x14ac:dyDescent="0.25">
      <c r="A4" s="1" t="s">
        <v>21</v>
      </c>
      <c r="D4" s="2"/>
      <c r="E4" s="2"/>
      <c r="F4" s="2"/>
      <c r="G4" s="2"/>
      <c r="H4" s="2"/>
      <c r="I4" s="2"/>
      <c r="J4" s="46"/>
    </row>
    <row r="5" spans="1:10" x14ac:dyDescent="0.25">
      <c r="A5" s="1" t="s">
        <v>22</v>
      </c>
      <c r="D5" s="2"/>
      <c r="E5" s="2"/>
      <c r="F5" s="2"/>
      <c r="G5" s="2"/>
      <c r="H5" s="2"/>
      <c r="I5" s="2"/>
      <c r="J5" s="46"/>
    </row>
    <row r="6" spans="1:10" x14ac:dyDescent="0.25">
      <c r="D6" s="2"/>
      <c r="E6" s="2"/>
      <c r="F6" s="2"/>
      <c r="G6" s="2"/>
      <c r="H6" s="2"/>
      <c r="I6" s="2"/>
      <c r="J6" s="46"/>
    </row>
    <row r="7" spans="1:10" x14ac:dyDescent="0.25">
      <c r="A7" s="1" t="s">
        <v>2</v>
      </c>
      <c r="D7" s="2"/>
      <c r="E7" s="2"/>
      <c r="F7" s="2"/>
      <c r="G7" s="2"/>
      <c r="H7" s="2"/>
      <c r="I7" s="2"/>
      <c r="J7" s="46"/>
    </row>
    <row r="8" spans="1:10" x14ac:dyDescent="0.25">
      <c r="A8" s="1" t="s">
        <v>204</v>
      </c>
      <c r="D8" s="2"/>
      <c r="E8" s="2"/>
      <c r="F8" s="2"/>
      <c r="G8" s="2"/>
      <c r="H8" s="2"/>
      <c r="I8" s="2"/>
      <c r="J8" s="46"/>
    </row>
    <row r="9" spans="1:10" x14ac:dyDescent="0.25">
      <c r="D9" s="2"/>
      <c r="E9" s="2"/>
      <c r="F9" s="2"/>
      <c r="G9" s="2"/>
      <c r="H9" s="2"/>
      <c r="I9" s="2"/>
      <c r="J9" s="46"/>
    </row>
    <row r="10" spans="1:10" x14ac:dyDescent="0.25">
      <c r="A10" s="1" t="s">
        <v>338</v>
      </c>
      <c r="D10" s="2"/>
      <c r="E10" s="2"/>
      <c r="F10" s="2"/>
      <c r="G10" s="2"/>
      <c r="H10" s="2"/>
      <c r="I10" s="2"/>
      <c r="J10" s="46"/>
    </row>
    <row r="11" spans="1:10" x14ac:dyDescent="0.25">
      <c r="A11" s="1" t="s">
        <v>284</v>
      </c>
      <c r="D11" s="2"/>
      <c r="E11" s="2"/>
      <c r="F11" s="2"/>
      <c r="G11" s="2"/>
      <c r="H11" s="2"/>
      <c r="I11" s="2"/>
      <c r="J11" s="46"/>
    </row>
    <row r="12" spans="1:10" x14ac:dyDescent="0.25">
      <c r="A12" s="1" t="s">
        <v>268</v>
      </c>
      <c r="D12" s="2"/>
      <c r="E12" s="2"/>
      <c r="F12" s="2"/>
      <c r="G12" s="2"/>
      <c r="H12" s="2"/>
      <c r="I12" s="2"/>
      <c r="J12" s="46"/>
    </row>
    <row r="13" spans="1:10" x14ac:dyDescent="0.25">
      <c r="D13" s="2"/>
      <c r="E13" s="2"/>
      <c r="F13" s="2"/>
      <c r="G13" s="2"/>
      <c r="H13" s="2"/>
      <c r="I13" s="2"/>
      <c r="J13" s="46"/>
    </row>
    <row r="14" spans="1:10" x14ac:dyDescent="0.25">
      <c r="A14" s="1" t="s">
        <v>223</v>
      </c>
      <c r="D14" s="2"/>
      <c r="E14" s="2"/>
      <c r="F14" s="2"/>
      <c r="G14" s="2"/>
      <c r="H14" s="2"/>
      <c r="I14" s="2"/>
      <c r="J14" s="46"/>
    </row>
    <row r="15" spans="1:10" x14ac:dyDescent="0.25">
      <c r="A15" s="1" t="s">
        <v>339</v>
      </c>
      <c r="D15" s="2"/>
      <c r="E15" s="2"/>
      <c r="F15" s="2"/>
      <c r="G15" s="2"/>
      <c r="H15" s="2"/>
      <c r="I15" s="2"/>
      <c r="J15" s="46"/>
    </row>
    <row r="16" spans="1:10" x14ac:dyDescent="0.25">
      <c r="D16" s="2"/>
      <c r="E16" s="2"/>
      <c r="F16" s="2"/>
      <c r="G16" s="2"/>
      <c r="H16" s="2"/>
      <c r="I16" s="2"/>
      <c r="J16" s="46"/>
    </row>
    <row r="17" spans="1:10" x14ac:dyDescent="0.25">
      <c r="A17" s="1" t="s">
        <v>28</v>
      </c>
      <c r="D17" s="2"/>
      <c r="E17" s="2"/>
      <c r="F17" s="2"/>
      <c r="G17" s="2"/>
      <c r="H17" s="2"/>
      <c r="I17" s="2"/>
      <c r="J17" s="46"/>
    </row>
    <row r="18" spans="1:10" x14ac:dyDescent="0.25">
      <c r="D18" s="2"/>
      <c r="E18" s="2"/>
      <c r="F18" s="2"/>
      <c r="G18" s="2"/>
      <c r="H18" s="2"/>
      <c r="I18" s="2"/>
      <c r="J18" s="46"/>
    </row>
    <row r="19" spans="1:10" x14ac:dyDescent="0.25">
      <c r="B19"/>
      <c r="D19" s="2"/>
      <c r="E19" s="47"/>
      <c r="F19" s="2"/>
      <c r="G19" s="2"/>
      <c r="H19" s="2"/>
      <c r="I19" s="2"/>
      <c r="J19" s="46"/>
    </row>
    <row r="20" spans="1:10" ht="39.6" x14ac:dyDescent="0.25">
      <c r="A20" s="52" t="s">
        <v>29</v>
      </c>
      <c r="B20" s="52" t="s">
        <v>31</v>
      </c>
      <c r="C20" s="52" t="s">
        <v>30</v>
      </c>
      <c r="D20" s="52" t="s">
        <v>32</v>
      </c>
      <c r="E20" s="52" t="s">
        <v>212</v>
      </c>
      <c r="F20" s="52" t="s">
        <v>36</v>
      </c>
      <c r="G20" s="52" t="s">
        <v>37</v>
      </c>
      <c r="H20" s="52" t="s">
        <v>33</v>
      </c>
      <c r="I20" s="52" t="s">
        <v>38</v>
      </c>
      <c r="J20" s="46"/>
    </row>
    <row r="21" spans="1:10" x14ac:dyDescent="0.25">
      <c r="A21" s="53">
        <v>1</v>
      </c>
      <c r="B21" s="56" t="s">
        <v>62</v>
      </c>
      <c r="C21" s="56" t="s">
        <v>49</v>
      </c>
      <c r="D21" s="53" t="s">
        <v>315</v>
      </c>
      <c r="E21" s="49">
        <v>3.6087962962962968E-2</v>
      </c>
      <c r="F21" s="53">
        <v>1</v>
      </c>
      <c r="G21" s="53">
        <v>33</v>
      </c>
      <c r="H21" s="53" t="s">
        <v>44</v>
      </c>
      <c r="I21" s="53" t="s">
        <v>44</v>
      </c>
      <c r="J21" s="46"/>
    </row>
    <row r="22" spans="1:10" x14ac:dyDescent="0.25">
      <c r="A22" s="53">
        <v>2</v>
      </c>
      <c r="B22" s="56" t="s">
        <v>42</v>
      </c>
      <c r="C22" s="56" t="s">
        <v>39</v>
      </c>
      <c r="D22" s="53" t="s">
        <v>316</v>
      </c>
      <c r="E22" s="49">
        <v>3.8715277777777779E-2</v>
      </c>
      <c r="F22" s="53">
        <v>2</v>
      </c>
      <c r="G22" s="53">
        <v>30</v>
      </c>
      <c r="H22" s="53" t="s">
        <v>44</v>
      </c>
      <c r="I22" s="53" t="s">
        <v>44</v>
      </c>
      <c r="J22" s="46"/>
    </row>
    <row r="23" spans="1:10" x14ac:dyDescent="0.25">
      <c r="A23" s="53">
        <v>3</v>
      </c>
      <c r="B23" s="56" t="s">
        <v>53</v>
      </c>
      <c r="C23" s="56" t="s">
        <v>46</v>
      </c>
      <c r="D23" s="53" t="s">
        <v>317</v>
      </c>
      <c r="E23" s="49">
        <v>3.8969907407407404E-2</v>
      </c>
      <c r="F23" s="53">
        <v>3</v>
      </c>
      <c r="G23" s="53">
        <v>27</v>
      </c>
      <c r="H23" s="53" t="s">
        <v>44</v>
      </c>
      <c r="I23" s="53" t="s">
        <v>44</v>
      </c>
      <c r="J23" s="46"/>
    </row>
    <row r="24" spans="1:10" x14ac:dyDescent="0.25">
      <c r="A24" s="53">
        <v>4</v>
      </c>
      <c r="B24" s="56" t="s">
        <v>341</v>
      </c>
      <c r="C24" s="56" t="s">
        <v>70</v>
      </c>
      <c r="D24" s="53" t="s">
        <v>318</v>
      </c>
      <c r="E24" s="49">
        <v>3.8981481481481485E-2</v>
      </c>
      <c r="F24" s="53">
        <v>4</v>
      </c>
      <c r="G24" s="53">
        <v>25</v>
      </c>
      <c r="H24" s="53" t="s">
        <v>44</v>
      </c>
      <c r="I24" s="53" t="s">
        <v>44</v>
      </c>
      <c r="J24" s="46"/>
    </row>
    <row r="25" spans="1:10" x14ac:dyDescent="0.25">
      <c r="A25" s="53">
        <v>5</v>
      </c>
      <c r="B25" s="56" t="s">
        <v>43</v>
      </c>
      <c r="C25" s="56" t="s">
        <v>39</v>
      </c>
      <c r="D25" s="53">
        <v>75</v>
      </c>
      <c r="E25" s="57">
        <v>3.9143518518518515E-2</v>
      </c>
      <c r="F25" s="53">
        <v>5</v>
      </c>
      <c r="G25" s="53">
        <v>24</v>
      </c>
      <c r="H25" s="53" t="s">
        <v>44</v>
      </c>
      <c r="I25" s="53" t="s">
        <v>44</v>
      </c>
      <c r="J25" s="46"/>
    </row>
    <row r="26" spans="1:10" x14ac:dyDescent="0.25">
      <c r="A26" s="53">
        <v>6</v>
      </c>
      <c r="B26" s="56" t="s">
        <v>342</v>
      </c>
      <c r="C26" s="56" t="s">
        <v>49</v>
      </c>
      <c r="D26" s="53">
        <v>78</v>
      </c>
      <c r="E26" s="49">
        <v>3.9502314814814816E-2</v>
      </c>
      <c r="F26" s="53">
        <v>6</v>
      </c>
      <c r="G26" s="53">
        <v>23</v>
      </c>
      <c r="H26" s="53" t="s">
        <v>44</v>
      </c>
      <c r="I26" s="53" t="s">
        <v>44</v>
      </c>
      <c r="J26" s="46"/>
    </row>
    <row r="27" spans="1:10" x14ac:dyDescent="0.25">
      <c r="A27" s="53">
        <v>7</v>
      </c>
      <c r="B27" s="56" t="s">
        <v>52</v>
      </c>
      <c r="C27" s="56" t="s">
        <v>46</v>
      </c>
      <c r="D27" s="53" t="s">
        <v>232</v>
      </c>
      <c r="E27" s="49">
        <v>3.9571759259259258E-2</v>
      </c>
      <c r="F27" s="53">
        <v>7</v>
      </c>
      <c r="G27" s="53">
        <v>22</v>
      </c>
      <c r="H27" s="53" t="s">
        <v>44</v>
      </c>
      <c r="I27" s="53" t="s">
        <v>44</v>
      </c>
      <c r="J27" s="46"/>
    </row>
    <row r="28" spans="1:10" x14ac:dyDescent="0.25">
      <c r="A28" s="53">
        <v>8</v>
      </c>
      <c r="B28" s="56" t="s">
        <v>18</v>
      </c>
      <c r="C28" s="56" t="s">
        <v>48</v>
      </c>
      <c r="D28" s="53" t="s">
        <v>14</v>
      </c>
      <c r="E28" s="49">
        <v>3.9768518518518516E-2</v>
      </c>
      <c r="F28" s="53">
        <v>8</v>
      </c>
      <c r="G28" s="53">
        <v>21</v>
      </c>
      <c r="H28" s="53" t="s">
        <v>44</v>
      </c>
      <c r="I28" s="53" t="s">
        <v>44</v>
      </c>
      <c r="J28" s="46"/>
    </row>
    <row r="29" spans="1:10" x14ac:dyDescent="0.25">
      <c r="A29" s="53">
        <v>9</v>
      </c>
      <c r="B29" s="56" t="s">
        <v>80</v>
      </c>
      <c r="C29" s="56" t="s">
        <v>75</v>
      </c>
      <c r="D29" s="53" t="s">
        <v>319</v>
      </c>
      <c r="E29" s="49">
        <v>4.05787037037037E-2</v>
      </c>
      <c r="F29" s="53">
        <v>9</v>
      </c>
      <c r="G29" s="53">
        <v>20</v>
      </c>
      <c r="H29" s="53" t="s">
        <v>44</v>
      </c>
      <c r="I29" s="53" t="s">
        <v>44</v>
      </c>
      <c r="J29" s="46"/>
    </row>
    <row r="30" spans="1:10" x14ac:dyDescent="0.25">
      <c r="A30" s="53">
        <v>10</v>
      </c>
      <c r="B30" s="56" t="s">
        <v>343</v>
      </c>
      <c r="C30" s="40" t="s">
        <v>47</v>
      </c>
      <c r="D30" s="53" t="s">
        <v>320</v>
      </c>
      <c r="E30" s="49">
        <v>4.1944444444444444E-2</v>
      </c>
      <c r="F30" s="53">
        <v>10</v>
      </c>
      <c r="G30" s="53">
        <v>19</v>
      </c>
      <c r="H30" s="53" t="s">
        <v>44</v>
      </c>
      <c r="I30" s="53" t="s">
        <v>44</v>
      </c>
      <c r="J30" s="46"/>
    </row>
    <row r="31" spans="1:10" x14ac:dyDescent="0.25">
      <c r="A31" s="53">
        <v>11</v>
      </c>
      <c r="B31" s="56" t="s">
        <v>344</v>
      </c>
      <c r="C31" s="40" t="s">
        <v>69</v>
      </c>
      <c r="D31" s="53" t="s">
        <v>321</v>
      </c>
      <c r="E31" s="49">
        <v>4.3159722222222224E-2</v>
      </c>
      <c r="F31" s="53">
        <v>11</v>
      </c>
      <c r="G31" s="53">
        <v>18</v>
      </c>
      <c r="H31" s="53" t="s">
        <v>44</v>
      </c>
      <c r="I31" s="53" t="s">
        <v>44</v>
      </c>
      <c r="J31" s="46"/>
    </row>
    <row r="32" spans="1:10" x14ac:dyDescent="0.25">
      <c r="A32" s="53">
        <v>12</v>
      </c>
      <c r="B32" s="56" t="s">
        <v>61</v>
      </c>
      <c r="C32" s="40" t="s">
        <v>49</v>
      </c>
      <c r="D32" s="53">
        <v>59</v>
      </c>
      <c r="E32" s="49">
        <v>4.3391203703703703E-2</v>
      </c>
      <c r="F32" s="53">
        <v>12</v>
      </c>
      <c r="G32" s="53">
        <v>17</v>
      </c>
      <c r="H32" s="53" t="s">
        <v>44</v>
      </c>
      <c r="I32" s="53" t="s">
        <v>44</v>
      </c>
      <c r="J32" s="46"/>
    </row>
    <row r="33" spans="1:10" x14ac:dyDescent="0.25">
      <c r="A33" s="53">
        <v>13</v>
      </c>
      <c r="B33" s="56" t="s">
        <v>71</v>
      </c>
      <c r="C33" s="40" t="s">
        <v>70</v>
      </c>
      <c r="D33" s="53" t="s">
        <v>323</v>
      </c>
      <c r="E33" s="49">
        <v>4.3564814814814813E-2</v>
      </c>
      <c r="F33" s="53">
        <v>13</v>
      </c>
      <c r="G33" s="53">
        <v>16</v>
      </c>
      <c r="H33" s="53" t="s">
        <v>44</v>
      </c>
      <c r="I33" s="53" t="s">
        <v>44</v>
      </c>
      <c r="J33" s="46"/>
    </row>
    <row r="34" spans="1:10" x14ac:dyDescent="0.25">
      <c r="A34" s="53">
        <v>14</v>
      </c>
      <c r="B34" s="56" t="s">
        <v>346</v>
      </c>
      <c r="C34" s="40" t="s">
        <v>39</v>
      </c>
      <c r="D34" s="53" t="s">
        <v>324</v>
      </c>
      <c r="E34" s="49">
        <v>4.3680555555555556E-2</v>
      </c>
      <c r="F34" s="53">
        <v>14</v>
      </c>
      <c r="G34" s="53">
        <v>15</v>
      </c>
      <c r="H34" s="53" t="s">
        <v>44</v>
      </c>
      <c r="I34" s="53" t="s">
        <v>44</v>
      </c>
      <c r="J34" s="46"/>
    </row>
    <row r="35" spans="1:10" x14ac:dyDescent="0.25">
      <c r="A35" s="53">
        <v>15</v>
      </c>
      <c r="B35" s="56" t="s">
        <v>11</v>
      </c>
      <c r="C35" s="40" t="s">
        <v>47</v>
      </c>
      <c r="D35" s="53" t="s">
        <v>325</v>
      </c>
      <c r="E35" s="49">
        <v>4.3831018518518512E-2</v>
      </c>
      <c r="F35" s="53">
        <v>15</v>
      </c>
      <c r="G35" s="53">
        <v>14</v>
      </c>
      <c r="H35" s="53" t="s">
        <v>44</v>
      </c>
      <c r="I35" s="53" t="s">
        <v>44</v>
      </c>
      <c r="J35" s="46"/>
    </row>
    <row r="36" spans="1:10" x14ac:dyDescent="0.25">
      <c r="A36" s="53">
        <v>16</v>
      </c>
      <c r="B36" s="56" t="s">
        <v>78</v>
      </c>
      <c r="C36" s="40" t="s">
        <v>75</v>
      </c>
      <c r="D36" s="53">
        <v>65</v>
      </c>
      <c r="E36" s="49">
        <v>4.4027777777777777E-2</v>
      </c>
      <c r="F36" s="53">
        <v>16</v>
      </c>
      <c r="G36" s="53">
        <v>13</v>
      </c>
      <c r="H36" s="53" t="s">
        <v>44</v>
      </c>
      <c r="I36" s="53" t="s">
        <v>44</v>
      </c>
      <c r="J36" s="46"/>
    </row>
    <row r="37" spans="1:10" x14ac:dyDescent="0.25">
      <c r="A37" s="53">
        <v>17</v>
      </c>
      <c r="B37" s="56" t="s">
        <v>55</v>
      </c>
      <c r="C37" s="40" t="s">
        <v>47</v>
      </c>
      <c r="D37" s="53">
        <v>61</v>
      </c>
      <c r="E37" s="57">
        <v>4.5567129629629631E-2</v>
      </c>
      <c r="F37" s="53">
        <v>17</v>
      </c>
      <c r="G37" s="53">
        <v>12</v>
      </c>
      <c r="H37" s="53" t="s">
        <v>44</v>
      </c>
      <c r="I37" s="53" t="s">
        <v>44</v>
      </c>
      <c r="J37" s="46"/>
    </row>
    <row r="38" spans="1:10" x14ac:dyDescent="0.25">
      <c r="A38" s="53">
        <v>18</v>
      </c>
      <c r="B38" s="56" t="s">
        <v>340</v>
      </c>
      <c r="C38" s="40" t="s">
        <v>245</v>
      </c>
      <c r="D38" s="53" t="s">
        <v>326</v>
      </c>
      <c r="E38" s="49">
        <v>4.5856481481481477E-2</v>
      </c>
      <c r="F38" s="53">
        <v>18</v>
      </c>
      <c r="G38" s="53" t="s">
        <v>277</v>
      </c>
      <c r="H38" s="53" t="s">
        <v>44</v>
      </c>
      <c r="I38" s="53" t="s">
        <v>44</v>
      </c>
      <c r="J38" s="46"/>
    </row>
    <row r="39" spans="1:10" x14ac:dyDescent="0.25">
      <c r="A39" s="53">
        <v>19</v>
      </c>
      <c r="B39" s="56" t="s">
        <v>81</v>
      </c>
      <c r="C39" s="40" t="s">
        <v>76</v>
      </c>
      <c r="D39" s="53" t="s">
        <v>327</v>
      </c>
      <c r="E39" s="49">
        <v>4.6076388888888882E-2</v>
      </c>
      <c r="F39" s="53">
        <v>19</v>
      </c>
      <c r="G39" s="53">
        <v>11</v>
      </c>
      <c r="H39" s="53" t="s">
        <v>45</v>
      </c>
      <c r="I39" s="53" t="s">
        <v>44</v>
      </c>
      <c r="J39" s="46"/>
    </row>
    <row r="40" spans="1:10" x14ac:dyDescent="0.25">
      <c r="A40" s="53">
        <v>20</v>
      </c>
      <c r="B40" s="56" t="s">
        <v>66</v>
      </c>
      <c r="C40" s="40" t="s">
        <v>69</v>
      </c>
      <c r="D40" s="53" t="s">
        <v>163</v>
      </c>
      <c r="E40" s="49">
        <v>4.6342592592592595E-2</v>
      </c>
      <c r="F40" s="53">
        <v>20</v>
      </c>
      <c r="G40" s="53">
        <v>10</v>
      </c>
      <c r="H40" s="53" t="s">
        <v>44</v>
      </c>
      <c r="I40" s="53" t="s">
        <v>44</v>
      </c>
      <c r="J40" s="46"/>
    </row>
    <row r="41" spans="1:10" x14ac:dyDescent="0.25">
      <c r="A41" s="53">
        <v>21</v>
      </c>
      <c r="B41" s="56" t="s">
        <v>79</v>
      </c>
      <c r="C41" s="40" t="s">
        <v>75</v>
      </c>
      <c r="D41" s="53" t="s">
        <v>322</v>
      </c>
      <c r="E41" s="49">
        <v>4.6446759259259257E-2</v>
      </c>
      <c r="F41" s="53">
        <v>21</v>
      </c>
      <c r="G41" s="53">
        <v>9</v>
      </c>
      <c r="H41" s="53" t="s">
        <v>44</v>
      </c>
      <c r="I41" s="56"/>
      <c r="J41" s="46"/>
    </row>
    <row r="42" spans="1:10" x14ac:dyDescent="0.25">
      <c r="A42" s="53">
        <v>21</v>
      </c>
      <c r="B42" s="56" t="s">
        <v>348</v>
      </c>
      <c r="C42" s="40" t="s">
        <v>293</v>
      </c>
      <c r="D42" s="53" t="s">
        <v>328</v>
      </c>
      <c r="E42" s="49">
        <v>4.6446759259259257E-2</v>
      </c>
      <c r="F42" s="53">
        <v>21</v>
      </c>
      <c r="G42" s="53" t="s">
        <v>277</v>
      </c>
      <c r="H42" s="53" t="s">
        <v>44</v>
      </c>
      <c r="I42" s="56"/>
      <c r="J42" s="46"/>
    </row>
    <row r="43" spans="1:10" x14ac:dyDescent="0.25">
      <c r="A43" s="53">
        <v>23</v>
      </c>
      <c r="B43" s="56" t="s">
        <v>347</v>
      </c>
      <c r="C43" s="40" t="s">
        <v>69</v>
      </c>
      <c r="D43" s="53" t="s">
        <v>329</v>
      </c>
      <c r="E43" s="49">
        <v>4.6469907407407411E-2</v>
      </c>
      <c r="F43" s="53">
        <v>23</v>
      </c>
      <c r="G43" s="53">
        <v>8</v>
      </c>
      <c r="H43" s="53" t="s">
        <v>44</v>
      </c>
      <c r="I43" s="56"/>
      <c r="J43" s="46"/>
    </row>
    <row r="44" spans="1:10" x14ac:dyDescent="0.25">
      <c r="A44" s="53">
        <v>24</v>
      </c>
      <c r="B44" s="56" t="s">
        <v>73</v>
      </c>
      <c r="C44" s="40" t="s">
        <v>70</v>
      </c>
      <c r="D44" s="53" t="s">
        <v>330</v>
      </c>
      <c r="E44" s="49">
        <v>4.7615740740740743E-2</v>
      </c>
      <c r="F44" s="53">
        <v>24</v>
      </c>
      <c r="G44" s="53">
        <v>7</v>
      </c>
      <c r="H44" s="53" t="s">
        <v>44</v>
      </c>
      <c r="I44" s="56"/>
      <c r="J44" s="46"/>
    </row>
    <row r="45" spans="1:10" x14ac:dyDescent="0.25">
      <c r="A45" s="53">
        <v>25</v>
      </c>
      <c r="B45" s="56" t="s">
        <v>84</v>
      </c>
      <c r="C45" s="40" t="s">
        <v>76</v>
      </c>
      <c r="D45" s="53" t="s">
        <v>331</v>
      </c>
      <c r="E45" s="49">
        <v>4.7847222222222228E-2</v>
      </c>
      <c r="F45" s="53">
        <v>25</v>
      </c>
      <c r="G45" s="53">
        <v>6</v>
      </c>
      <c r="H45" s="53" t="s">
        <v>45</v>
      </c>
      <c r="I45" s="56"/>
      <c r="J45" s="46"/>
    </row>
    <row r="46" spans="1:10" x14ac:dyDescent="0.25">
      <c r="A46" s="53">
        <v>26</v>
      </c>
      <c r="B46" s="56" t="s">
        <v>332</v>
      </c>
      <c r="C46" s="40" t="s">
        <v>46</v>
      </c>
      <c r="D46" s="53" t="s">
        <v>333</v>
      </c>
      <c r="E46" s="49">
        <v>4.8506944444444443E-2</v>
      </c>
      <c r="F46" s="53">
        <v>26</v>
      </c>
      <c r="G46" s="53">
        <v>5</v>
      </c>
      <c r="H46" s="53" t="s">
        <v>44</v>
      </c>
      <c r="I46" s="56"/>
      <c r="J46" s="46"/>
    </row>
    <row r="47" spans="1:10" x14ac:dyDescent="0.25">
      <c r="A47" s="53">
        <v>27</v>
      </c>
      <c r="B47" s="56" t="s">
        <v>58</v>
      </c>
      <c r="C47" s="40" t="s">
        <v>48</v>
      </c>
      <c r="D47" s="53" t="s">
        <v>334</v>
      </c>
      <c r="E47" s="49">
        <v>4.9988425925925922E-2</v>
      </c>
      <c r="F47" s="53">
        <v>27</v>
      </c>
      <c r="G47" s="53">
        <v>4</v>
      </c>
      <c r="H47" s="53" t="s">
        <v>44</v>
      </c>
      <c r="I47" s="56"/>
      <c r="J47" s="46"/>
    </row>
    <row r="48" spans="1:10" x14ac:dyDescent="0.25">
      <c r="A48" s="53">
        <v>28</v>
      </c>
      <c r="B48" s="40" t="s">
        <v>65</v>
      </c>
      <c r="C48" s="40" t="s">
        <v>69</v>
      </c>
      <c r="D48" s="53" t="s">
        <v>5</v>
      </c>
      <c r="E48" s="49">
        <v>5.0185185185185187E-2</v>
      </c>
      <c r="F48" s="53">
        <v>28</v>
      </c>
      <c r="G48" s="53" t="s">
        <v>277</v>
      </c>
      <c r="H48" s="53" t="s">
        <v>44</v>
      </c>
      <c r="I48" s="56"/>
      <c r="J48" s="46"/>
    </row>
    <row r="49" spans="1:10" x14ac:dyDescent="0.25">
      <c r="A49" s="53">
        <v>29</v>
      </c>
      <c r="B49" s="40" t="s">
        <v>77</v>
      </c>
      <c r="C49" s="40" t="s">
        <v>75</v>
      </c>
      <c r="D49" s="53">
        <v>45</v>
      </c>
      <c r="E49" s="49">
        <v>5.0219907407407414E-2</v>
      </c>
      <c r="F49" s="53">
        <v>29</v>
      </c>
      <c r="G49" s="53" t="s">
        <v>277</v>
      </c>
      <c r="H49" s="53" t="s">
        <v>45</v>
      </c>
      <c r="I49" s="56"/>
      <c r="J49" s="46"/>
    </row>
    <row r="50" spans="1:10" x14ac:dyDescent="0.25">
      <c r="A50" s="53">
        <v>30</v>
      </c>
      <c r="B50" s="40" t="s">
        <v>349</v>
      </c>
      <c r="C50" s="40" t="s">
        <v>47</v>
      </c>
      <c r="D50" s="53" t="s">
        <v>335</v>
      </c>
      <c r="E50" s="49">
        <v>5.0428240740740739E-2</v>
      </c>
      <c r="F50" s="53">
        <v>30</v>
      </c>
      <c r="G50" s="53" t="s">
        <v>277</v>
      </c>
      <c r="H50" s="53" t="s">
        <v>44</v>
      </c>
      <c r="I50" s="56"/>
      <c r="J50" s="46"/>
    </row>
    <row r="51" spans="1:10" x14ac:dyDescent="0.25">
      <c r="A51" s="53">
        <v>31</v>
      </c>
      <c r="B51" s="40" t="s">
        <v>350</v>
      </c>
      <c r="C51" s="40" t="s">
        <v>49</v>
      </c>
      <c r="D51" s="53">
        <v>49</v>
      </c>
      <c r="E51" s="57">
        <v>5.063657407407407E-2</v>
      </c>
      <c r="F51" s="53">
        <v>31</v>
      </c>
      <c r="G51" s="53"/>
      <c r="H51" s="53" t="s">
        <v>44</v>
      </c>
      <c r="I51" s="56"/>
      <c r="J51" s="46"/>
    </row>
    <row r="52" spans="1:10" x14ac:dyDescent="0.25">
      <c r="A52" s="53">
        <v>32</v>
      </c>
      <c r="B52" s="40" t="s">
        <v>15</v>
      </c>
      <c r="C52" s="40" t="s">
        <v>48</v>
      </c>
      <c r="D52" s="53">
        <v>48</v>
      </c>
      <c r="E52" s="57">
        <v>5.0833333333333335E-2</v>
      </c>
      <c r="F52" s="53">
        <v>32</v>
      </c>
      <c r="G52" s="53"/>
      <c r="H52" s="53" t="s">
        <v>44</v>
      </c>
      <c r="I52" s="56"/>
      <c r="J52" s="46"/>
    </row>
    <row r="53" spans="1:10" x14ac:dyDescent="0.25">
      <c r="A53" s="53">
        <v>33</v>
      </c>
      <c r="B53" s="40" t="s">
        <v>72</v>
      </c>
      <c r="C53" s="40" t="s">
        <v>70</v>
      </c>
      <c r="D53" s="53">
        <v>70</v>
      </c>
      <c r="E53" s="57">
        <v>5.5081018518518515E-2</v>
      </c>
      <c r="F53" s="53">
        <v>33</v>
      </c>
      <c r="G53" s="53"/>
      <c r="H53" s="53" t="s">
        <v>44</v>
      </c>
      <c r="I53" s="56"/>
      <c r="J53" s="46"/>
    </row>
    <row r="54" spans="1:10" x14ac:dyDescent="0.25">
      <c r="A54" s="53">
        <v>34</v>
      </c>
      <c r="B54" s="40" t="s">
        <v>351</v>
      </c>
      <c r="C54" s="40" t="s">
        <v>46</v>
      </c>
      <c r="D54" s="53">
        <v>76</v>
      </c>
      <c r="E54" s="57">
        <v>5.5208333333333331E-2</v>
      </c>
      <c r="F54" s="53">
        <v>34</v>
      </c>
      <c r="G54" s="53"/>
      <c r="H54" s="53" t="s">
        <v>44</v>
      </c>
      <c r="I54" s="56"/>
      <c r="J54" s="46"/>
    </row>
    <row r="55" spans="1:10" x14ac:dyDescent="0.25">
      <c r="A55" s="53">
        <v>35</v>
      </c>
      <c r="B55" s="40" t="s">
        <v>352</v>
      </c>
      <c r="C55" s="40" t="s">
        <v>39</v>
      </c>
      <c r="D55" s="53">
        <v>46</v>
      </c>
      <c r="E55" s="57">
        <v>5.6307870370370362E-2</v>
      </c>
      <c r="F55" s="53">
        <v>35</v>
      </c>
      <c r="G55" s="53"/>
      <c r="H55" s="53" t="s">
        <v>44</v>
      </c>
      <c r="I55" s="56"/>
      <c r="J55" s="46"/>
    </row>
    <row r="56" spans="1:10" x14ac:dyDescent="0.25">
      <c r="A56" s="53">
        <v>36</v>
      </c>
      <c r="B56" s="40" t="s">
        <v>57</v>
      </c>
      <c r="C56" s="40" t="s">
        <v>48</v>
      </c>
      <c r="D56" s="53">
        <v>77</v>
      </c>
      <c r="E56" s="58">
        <v>5.6504629629629627E-2</v>
      </c>
      <c r="F56" s="53">
        <v>36</v>
      </c>
      <c r="G56" s="53"/>
      <c r="H56" s="53" t="s">
        <v>45</v>
      </c>
      <c r="I56" s="56"/>
      <c r="J56" s="46"/>
    </row>
    <row r="57" spans="1:10" x14ac:dyDescent="0.25">
      <c r="A57" s="53">
        <v>37</v>
      </c>
      <c r="B57" s="40" t="s">
        <v>82</v>
      </c>
      <c r="C57" s="40" t="s">
        <v>76</v>
      </c>
      <c r="D57" s="53">
        <v>63</v>
      </c>
      <c r="E57" s="57">
        <v>5.8680555555555548E-2</v>
      </c>
      <c r="F57" s="53">
        <v>37</v>
      </c>
      <c r="G57" s="53"/>
      <c r="H57" s="53" t="s">
        <v>45</v>
      </c>
      <c r="I57" s="56"/>
      <c r="J57" s="46"/>
    </row>
    <row r="58" spans="1:10" x14ac:dyDescent="0.25">
      <c r="A58" s="53">
        <v>38</v>
      </c>
      <c r="B58" s="40" t="s">
        <v>83</v>
      </c>
      <c r="C58" s="40" t="s">
        <v>76</v>
      </c>
      <c r="D58" s="53">
        <v>43</v>
      </c>
      <c r="E58" s="57">
        <v>6.2534722222222228E-2</v>
      </c>
      <c r="F58" s="53">
        <v>38</v>
      </c>
      <c r="G58" s="53"/>
      <c r="H58" s="53" t="s">
        <v>45</v>
      </c>
      <c r="I58" s="56"/>
      <c r="J58" s="46"/>
    </row>
    <row r="59" spans="1:10" x14ac:dyDescent="0.25">
      <c r="A59" s="46"/>
      <c r="B59" s="46"/>
      <c r="C59"/>
      <c r="D59" s="46"/>
      <c r="F59" s="46"/>
      <c r="G59" s="2"/>
      <c r="H59" s="46"/>
      <c r="I59" s="46"/>
      <c r="J59" s="46"/>
    </row>
    <row r="60" spans="1:10" x14ac:dyDescent="0.25">
      <c r="B60" s="1" t="s">
        <v>85</v>
      </c>
    </row>
    <row r="61" spans="1:10" x14ac:dyDescent="0.25">
      <c r="B61" s="1" t="s">
        <v>247</v>
      </c>
    </row>
    <row r="62" spans="1:10" x14ac:dyDescent="0.25">
      <c r="B62" s="1" t="s">
        <v>248</v>
      </c>
    </row>
    <row r="63" spans="1:10" x14ac:dyDescent="0.25">
      <c r="B63" s="1" t="s">
        <v>353</v>
      </c>
    </row>
    <row r="65" spans="2:3" x14ac:dyDescent="0.25">
      <c r="B65" s="1" t="s">
        <v>89</v>
      </c>
      <c r="C65" s="1" t="s">
        <v>90</v>
      </c>
    </row>
    <row r="66" spans="2:3" x14ac:dyDescent="0.25">
      <c r="B66" s="1" t="s">
        <v>86</v>
      </c>
      <c r="C66" s="1" t="s">
        <v>91</v>
      </c>
    </row>
    <row r="68" spans="2:3" x14ac:dyDescent="0.25">
      <c r="C68"/>
    </row>
    <row r="69" spans="2:3" x14ac:dyDescent="0.25">
      <c r="C69"/>
    </row>
    <row r="70" spans="2:3" x14ac:dyDescent="0.25">
      <c r="C70"/>
    </row>
    <row r="71" spans="2:3" x14ac:dyDescent="0.25">
      <c r="C71"/>
    </row>
    <row r="72" spans="2:3" x14ac:dyDescent="0.25">
      <c r="C72"/>
    </row>
    <row r="73" spans="2:3" x14ac:dyDescent="0.25">
      <c r="C73"/>
    </row>
    <row r="74" spans="2:3" x14ac:dyDescent="0.25">
      <c r="C74"/>
    </row>
    <row r="75" spans="2:3" x14ac:dyDescent="0.25">
      <c r="C75"/>
    </row>
    <row r="76" spans="2:3" x14ac:dyDescent="0.25">
      <c r="C76"/>
    </row>
    <row r="77" spans="2:3" x14ac:dyDescent="0.25">
      <c r="C77"/>
    </row>
    <row r="78" spans="2:3" x14ac:dyDescent="0.25">
      <c r="C78"/>
    </row>
    <row r="79" spans="2:3" x14ac:dyDescent="0.25">
      <c r="C79"/>
    </row>
    <row r="80" spans="2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23" workbookViewId="0">
      <selection activeCell="F47" sqref="F47"/>
    </sheetView>
  </sheetViews>
  <sheetFormatPr defaultColWidth="30" defaultRowHeight="13.2" x14ac:dyDescent="0.25"/>
  <cols>
    <col min="1" max="1" width="6.77734375" style="1" customWidth="1"/>
    <col min="2" max="2" width="20.44140625" style="1" customWidth="1"/>
    <col min="3" max="3" width="21.6640625" style="1" customWidth="1"/>
    <col min="4" max="4" width="10.33203125" style="1" customWidth="1"/>
    <col min="5" max="5" width="13.5546875" style="1" customWidth="1"/>
    <col min="6" max="7" width="8.77734375" style="17" customWidth="1"/>
    <col min="8" max="8" width="16.21875" style="17" customWidth="1"/>
    <col min="9" max="9" width="15.21875" style="17" customWidth="1"/>
    <col min="10" max="16384" width="30" style="1"/>
  </cols>
  <sheetData>
    <row r="1" spans="1:9" x14ac:dyDescent="0.25">
      <c r="A1" s="1" t="s">
        <v>0</v>
      </c>
      <c r="D1" s="2"/>
      <c r="E1" s="2"/>
      <c r="F1" s="2"/>
      <c r="G1" s="2"/>
      <c r="H1" s="2"/>
      <c r="I1" s="2"/>
    </row>
    <row r="2" spans="1:9" x14ac:dyDescent="0.25">
      <c r="A2" s="1" t="s">
        <v>1</v>
      </c>
      <c r="D2" s="2"/>
      <c r="E2" s="2"/>
      <c r="F2" s="2"/>
      <c r="G2" s="2"/>
      <c r="H2" s="2"/>
      <c r="I2" s="2"/>
    </row>
    <row r="3" spans="1:9" x14ac:dyDescent="0.25">
      <c r="D3" s="2"/>
      <c r="E3" s="2"/>
      <c r="F3" s="2"/>
      <c r="G3" s="2"/>
      <c r="H3" s="2"/>
      <c r="I3" s="2"/>
    </row>
    <row r="4" spans="1:9" x14ac:dyDescent="0.25">
      <c r="A4" s="1" t="s">
        <v>21</v>
      </c>
      <c r="D4" s="2"/>
      <c r="E4" s="2"/>
      <c r="F4" s="2"/>
      <c r="G4" s="2"/>
      <c r="H4" s="2"/>
      <c r="I4" s="2"/>
    </row>
    <row r="5" spans="1:9" x14ac:dyDescent="0.25">
      <c r="A5" s="1" t="s">
        <v>22</v>
      </c>
      <c r="D5" s="2"/>
      <c r="E5" s="2"/>
      <c r="F5" s="2"/>
      <c r="G5" s="2"/>
      <c r="H5" s="2"/>
      <c r="I5" s="2"/>
    </row>
    <row r="6" spans="1:9" x14ac:dyDescent="0.25">
      <c r="D6" s="2"/>
      <c r="E6" s="2"/>
      <c r="F6" s="2"/>
      <c r="G6" s="2"/>
      <c r="H6" s="2"/>
      <c r="I6" s="2"/>
    </row>
    <row r="7" spans="1:9" x14ac:dyDescent="0.25">
      <c r="A7" s="1" t="s">
        <v>2</v>
      </c>
      <c r="D7" s="2"/>
      <c r="E7" s="2"/>
      <c r="F7" s="2"/>
      <c r="G7" s="2"/>
      <c r="H7" s="2"/>
      <c r="I7" s="2"/>
    </row>
    <row r="8" spans="1:9" x14ac:dyDescent="0.25">
      <c r="A8" s="1" t="s">
        <v>204</v>
      </c>
      <c r="D8" s="2"/>
      <c r="E8" s="2"/>
      <c r="F8" s="2"/>
      <c r="G8" s="2"/>
      <c r="H8" s="2"/>
      <c r="I8" s="2"/>
    </row>
    <row r="9" spans="1:9" x14ac:dyDescent="0.25">
      <c r="D9" s="2"/>
      <c r="E9" s="2"/>
      <c r="F9" s="2"/>
      <c r="G9" s="2"/>
      <c r="H9" s="2"/>
      <c r="I9" s="2"/>
    </row>
    <row r="10" spans="1:9" x14ac:dyDescent="0.25">
      <c r="A10" s="1" t="s">
        <v>266</v>
      </c>
      <c r="D10" s="2"/>
      <c r="E10" s="2"/>
      <c r="F10" s="2"/>
      <c r="G10" s="2"/>
      <c r="H10" s="2"/>
      <c r="I10" s="2"/>
    </row>
    <row r="11" spans="1:9" x14ac:dyDescent="0.25">
      <c r="A11" s="1" t="s">
        <v>267</v>
      </c>
      <c r="D11" s="2"/>
      <c r="E11" s="2"/>
      <c r="F11" s="2"/>
      <c r="G11" s="2"/>
      <c r="H11" s="2"/>
      <c r="I11" s="2"/>
    </row>
    <row r="12" spans="1:9" x14ac:dyDescent="0.25">
      <c r="A12" s="1" t="s">
        <v>268</v>
      </c>
      <c r="D12" s="2"/>
      <c r="E12" s="2"/>
      <c r="F12" s="2"/>
      <c r="G12" s="2"/>
      <c r="H12" s="2"/>
      <c r="I12" s="2"/>
    </row>
    <row r="13" spans="1:9" x14ac:dyDescent="0.25">
      <c r="D13" s="2"/>
      <c r="E13" s="2"/>
      <c r="F13" s="2"/>
      <c r="G13" s="2"/>
      <c r="H13" s="2"/>
      <c r="I13" s="2"/>
    </row>
    <row r="14" spans="1:9" x14ac:dyDescent="0.25">
      <c r="A14" s="1" t="s">
        <v>223</v>
      </c>
      <c r="D14" s="2"/>
      <c r="E14" s="2"/>
      <c r="F14" s="2"/>
      <c r="G14" s="2"/>
      <c r="H14" s="2"/>
      <c r="I14" s="2"/>
    </row>
    <row r="15" spans="1:9" x14ac:dyDescent="0.25">
      <c r="A15" s="1" t="s">
        <v>269</v>
      </c>
      <c r="D15" s="2"/>
      <c r="E15" s="2"/>
      <c r="F15" s="2"/>
      <c r="G15" s="2"/>
      <c r="H15" s="2"/>
      <c r="I15" s="2"/>
    </row>
    <row r="16" spans="1:9" x14ac:dyDescent="0.25">
      <c r="D16" s="2"/>
      <c r="E16" s="2"/>
      <c r="F16" s="2"/>
      <c r="G16" s="2"/>
      <c r="H16" s="2"/>
      <c r="I16" s="2"/>
    </row>
    <row r="17" spans="1:9" x14ac:dyDescent="0.25">
      <c r="A17" s="1" t="s">
        <v>94</v>
      </c>
      <c r="D17" s="2"/>
      <c r="E17" s="2"/>
      <c r="F17" s="2"/>
      <c r="G17" s="2"/>
      <c r="H17" s="2"/>
      <c r="I17" s="2"/>
    </row>
    <row r="18" spans="1:9" x14ac:dyDescent="0.25">
      <c r="D18" s="2"/>
      <c r="E18" s="2"/>
      <c r="F18" s="2"/>
      <c r="G18" s="2"/>
      <c r="H18" s="2"/>
      <c r="I18" s="2"/>
    </row>
    <row r="19" spans="1:9" x14ac:dyDescent="0.25">
      <c r="B19"/>
      <c r="D19" s="2"/>
      <c r="E19" s="47"/>
      <c r="F19" s="2"/>
      <c r="G19" s="2"/>
      <c r="H19" s="2"/>
      <c r="I19" s="2"/>
    </row>
    <row r="20" spans="1:9" ht="26.4" x14ac:dyDescent="0.25">
      <c r="A20" s="45" t="s">
        <v>29</v>
      </c>
      <c r="B20" s="45" t="s">
        <v>31</v>
      </c>
      <c r="C20" s="45" t="s">
        <v>30</v>
      </c>
      <c r="D20" s="45" t="s">
        <v>32</v>
      </c>
      <c r="E20" s="45" t="s">
        <v>212</v>
      </c>
      <c r="F20" s="45" t="s">
        <v>36</v>
      </c>
      <c r="G20" s="45" t="s">
        <v>37</v>
      </c>
      <c r="H20" s="45" t="s">
        <v>33</v>
      </c>
      <c r="I20" s="45" t="s">
        <v>38</v>
      </c>
    </row>
    <row r="21" spans="1:9" x14ac:dyDescent="0.25">
      <c r="A21" s="48">
        <v>1</v>
      </c>
      <c r="B21" s="40" t="s">
        <v>96</v>
      </c>
      <c r="C21" s="40" t="s">
        <v>245</v>
      </c>
      <c r="D21" s="48" t="s">
        <v>250</v>
      </c>
      <c r="E21" s="49">
        <v>2.6203703703703705E-2</v>
      </c>
      <c r="F21" s="48">
        <v>1</v>
      </c>
      <c r="G21" s="42" t="s">
        <v>277</v>
      </c>
      <c r="H21" s="42" t="s">
        <v>45</v>
      </c>
      <c r="I21" s="42" t="s">
        <v>45</v>
      </c>
    </row>
    <row r="22" spans="1:9" x14ac:dyDescent="0.25">
      <c r="A22" s="48">
        <v>2</v>
      </c>
      <c r="B22" s="40" t="s">
        <v>270</v>
      </c>
      <c r="C22" s="40" t="s">
        <v>245</v>
      </c>
      <c r="D22" s="48" t="s">
        <v>251</v>
      </c>
      <c r="E22" s="49">
        <v>2.8506944444444442E-2</v>
      </c>
      <c r="F22" s="48">
        <v>2</v>
      </c>
      <c r="G22" s="42" t="s">
        <v>277</v>
      </c>
      <c r="H22" s="42" t="s">
        <v>45</v>
      </c>
      <c r="I22" s="42" t="s">
        <v>45</v>
      </c>
    </row>
    <row r="23" spans="1:9" x14ac:dyDescent="0.25">
      <c r="A23" s="48">
        <v>3</v>
      </c>
      <c r="B23" s="40" t="s">
        <v>99</v>
      </c>
      <c r="C23" s="40" t="s">
        <v>113</v>
      </c>
      <c r="D23" s="48" t="s">
        <v>252</v>
      </c>
      <c r="E23" s="48" t="s">
        <v>278</v>
      </c>
      <c r="F23" s="48">
        <v>3</v>
      </c>
      <c r="G23" s="42">
        <v>33</v>
      </c>
      <c r="H23" s="42" t="s">
        <v>45</v>
      </c>
      <c r="I23" s="42" t="s">
        <v>45</v>
      </c>
    </row>
    <row r="24" spans="1:9" x14ac:dyDescent="0.25">
      <c r="A24" s="48">
        <v>4</v>
      </c>
      <c r="B24" s="40" t="s">
        <v>271</v>
      </c>
      <c r="C24" s="40" t="s">
        <v>114</v>
      </c>
      <c r="D24" s="48" t="s">
        <v>253</v>
      </c>
      <c r="E24" s="49">
        <v>3.1793981481481479E-2</v>
      </c>
      <c r="F24" s="48">
        <v>4</v>
      </c>
      <c r="G24" s="42">
        <v>30</v>
      </c>
      <c r="H24" s="42" t="s">
        <v>45</v>
      </c>
      <c r="I24" s="42"/>
    </row>
    <row r="25" spans="1:9" x14ac:dyDescent="0.25">
      <c r="A25" s="48">
        <v>5</v>
      </c>
      <c r="B25" s="40" t="s">
        <v>97</v>
      </c>
      <c r="C25" s="40" t="s">
        <v>245</v>
      </c>
      <c r="D25" s="48">
        <v>132</v>
      </c>
      <c r="E25" s="49">
        <v>3.2037037037037037E-2</v>
      </c>
      <c r="F25" s="48">
        <v>5</v>
      </c>
      <c r="G25" s="42" t="s">
        <v>277</v>
      </c>
      <c r="H25" s="42" t="s">
        <v>45</v>
      </c>
      <c r="I25" s="42"/>
    </row>
    <row r="26" spans="1:9" x14ac:dyDescent="0.25">
      <c r="A26" s="48">
        <v>6</v>
      </c>
      <c r="B26" s="40" t="s">
        <v>272</v>
      </c>
      <c r="C26" s="40" t="s">
        <v>245</v>
      </c>
      <c r="D26" s="48" t="s">
        <v>254</v>
      </c>
      <c r="E26" s="49">
        <v>3.2384259259259258E-2</v>
      </c>
      <c r="F26" s="48">
        <v>6</v>
      </c>
      <c r="G26" s="42" t="s">
        <v>277</v>
      </c>
      <c r="H26" s="42" t="s">
        <v>45</v>
      </c>
      <c r="I26" s="42"/>
    </row>
    <row r="27" spans="1:9" x14ac:dyDescent="0.25">
      <c r="A27" s="48">
        <v>7</v>
      </c>
      <c r="B27" s="40" t="s">
        <v>100</v>
      </c>
      <c r="C27" s="40" t="s">
        <v>114</v>
      </c>
      <c r="D27" s="48">
        <v>126</v>
      </c>
      <c r="E27" s="49">
        <v>3.3726851851851855E-2</v>
      </c>
      <c r="F27" s="48">
        <v>7</v>
      </c>
      <c r="G27" s="42">
        <v>27</v>
      </c>
      <c r="H27" s="42" t="s">
        <v>45</v>
      </c>
      <c r="I27" s="42"/>
    </row>
    <row r="28" spans="1:9" x14ac:dyDescent="0.25">
      <c r="A28" s="48">
        <v>8</v>
      </c>
      <c r="B28" s="40" t="s">
        <v>273</v>
      </c>
      <c r="C28" s="40" t="s">
        <v>115</v>
      </c>
      <c r="D28" s="48" t="s">
        <v>255</v>
      </c>
      <c r="E28" s="49">
        <v>3.8553240740740742E-2</v>
      </c>
      <c r="F28" s="48">
        <v>8</v>
      </c>
      <c r="G28" s="42">
        <v>25</v>
      </c>
      <c r="H28" s="42" t="s">
        <v>45</v>
      </c>
      <c r="I28" s="42"/>
    </row>
    <row r="29" spans="1:9" x14ac:dyDescent="0.25">
      <c r="A29" s="48">
        <v>9</v>
      </c>
      <c r="B29" s="40" t="s">
        <v>274</v>
      </c>
      <c r="C29" s="40" t="s">
        <v>244</v>
      </c>
      <c r="D29" s="48" t="s">
        <v>256</v>
      </c>
      <c r="E29" s="49">
        <v>4.0671296296296296E-2</v>
      </c>
      <c r="F29" s="48">
        <v>9</v>
      </c>
      <c r="G29" s="42" t="s">
        <v>277</v>
      </c>
      <c r="H29" s="42" t="s">
        <v>44</v>
      </c>
      <c r="I29" s="42"/>
    </row>
    <row r="30" spans="1:9" x14ac:dyDescent="0.25">
      <c r="A30" s="48">
        <v>10</v>
      </c>
      <c r="B30" s="40" t="s">
        <v>98</v>
      </c>
      <c r="C30" s="40" t="s">
        <v>113</v>
      </c>
      <c r="D30" s="48" t="s">
        <v>257</v>
      </c>
      <c r="E30" s="48" t="s">
        <v>279</v>
      </c>
      <c r="F30" s="48">
        <v>10</v>
      </c>
      <c r="G30" s="42">
        <v>24</v>
      </c>
      <c r="H30" s="42" t="s">
        <v>45</v>
      </c>
      <c r="I30" s="42"/>
    </row>
    <row r="31" spans="1:9" x14ac:dyDescent="0.25">
      <c r="A31" s="48">
        <v>11</v>
      </c>
      <c r="B31" s="40" t="s">
        <v>103</v>
      </c>
      <c r="C31" s="40" t="s">
        <v>115</v>
      </c>
      <c r="D31" s="48" t="s">
        <v>258</v>
      </c>
      <c r="E31" s="49">
        <v>4.1747685185185186E-2</v>
      </c>
      <c r="F31" s="48">
        <v>11</v>
      </c>
      <c r="G31" s="42">
        <v>23</v>
      </c>
      <c r="H31" s="42" t="s">
        <v>45</v>
      </c>
      <c r="I31" s="42"/>
    </row>
    <row r="32" spans="1:9" x14ac:dyDescent="0.25">
      <c r="A32" s="48">
        <v>12</v>
      </c>
      <c r="B32" s="40" t="s">
        <v>105</v>
      </c>
      <c r="C32" s="40" t="s">
        <v>280</v>
      </c>
      <c r="D32" s="48" t="s">
        <v>259</v>
      </c>
      <c r="E32" s="49">
        <v>5.3101851851851851E-2</v>
      </c>
      <c r="F32" s="48">
        <v>12</v>
      </c>
      <c r="G32" s="42">
        <v>22</v>
      </c>
      <c r="H32" s="42" t="s">
        <v>45</v>
      </c>
      <c r="I32" s="42"/>
    </row>
    <row r="33" spans="1:9" x14ac:dyDescent="0.25">
      <c r="A33" s="48">
        <v>13</v>
      </c>
      <c r="B33" s="40" t="s">
        <v>106</v>
      </c>
      <c r="C33" s="40" t="s">
        <v>280</v>
      </c>
      <c r="D33" s="48" t="s">
        <v>260</v>
      </c>
      <c r="E33" s="49">
        <v>5.4537037037037044E-2</v>
      </c>
      <c r="F33" s="48">
        <v>13</v>
      </c>
      <c r="G33" s="42">
        <v>21</v>
      </c>
      <c r="H33" s="42" t="s">
        <v>45</v>
      </c>
      <c r="I33" s="42"/>
    </row>
    <row r="34" spans="1:9" x14ac:dyDescent="0.25">
      <c r="A34" s="48">
        <v>14</v>
      </c>
      <c r="B34" s="40" t="s">
        <v>275</v>
      </c>
      <c r="C34" s="40" t="s">
        <v>118</v>
      </c>
      <c r="D34" s="48" t="s">
        <v>261</v>
      </c>
      <c r="E34" s="49">
        <v>7.8634259259259265E-2</v>
      </c>
      <c r="F34" s="48">
        <v>14</v>
      </c>
      <c r="G34" s="42">
        <v>20</v>
      </c>
      <c r="H34" s="42" t="s">
        <v>45</v>
      </c>
      <c r="I34" s="42"/>
    </row>
    <row r="35" spans="1:9" x14ac:dyDescent="0.25">
      <c r="A35" s="48">
        <v>15</v>
      </c>
      <c r="B35" s="40" t="s">
        <v>104</v>
      </c>
      <c r="C35" s="40" t="s">
        <v>116</v>
      </c>
      <c r="D35" s="48" t="s">
        <v>262</v>
      </c>
      <c r="E35" s="49">
        <v>7.9363425925925921E-2</v>
      </c>
      <c r="F35" s="48">
        <v>15</v>
      </c>
      <c r="G35" s="42">
        <v>19</v>
      </c>
      <c r="H35" s="42" t="s">
        <v>45</v>
      </c>
      <c r="I35" s="42"/>
    </row>
    <row r="36" spans="1:9" x14ac:dyDescent="0.25">
      <c r="A36" s="48">
        <v>16</v>
      </c>
      <c r="B36" s="40" t="s">
        <v>110</v>
      </c>
      <c r="C36" s="40" t="s">
        <v>116</v>
      </c>
      <c r="D36" s="48" t="s">
        <v>263</v>
      </c>
      <c r="E36" s="48" t="s">
        <v>264</v>
      </c>
      <c r="F36" s="48"/>
      <c r="G36" s="42" t="s">
        <v>277</v>
      </c>
      <c r="H36" s="42" t="s">
        <v>45</v>
      </c>
      <c r="I36" s="42"/>
    </row>
    <row r="37" spans="1:9" x14ac:dyDescent="0.25">
      <c r="A37" s="48">
        <v>17</v>
      </c>
      <c r="B37" s="40" t="s">
        <v>276</v>
      </c>
      <c r="C37" s="40" t="s">
        <v>118</v>
      </c>
      <c r="D37" s="48" t="s">
        <v>265</v>
      </c>
      <c r="E37" s="48" t="s">
        <v>264</v>
      </c>
      <c r="F37" s="48"/>
      <c r="G37" s="42" t="s">
        <v>277</v>
      </c>
      <c r="H37" s="42" t="s">
        <v>45</v>
      </c>
      <c r="I37" s="42"/>
    </row>
    <row r="39" spans="1:9" x14ac:dyDescent="0.25">
      <c r="B39" s="1" t="s">
        <v>85</v>
      </c>
    </row>
    <row r="40" spans="1:9" x14ac:dyDescent="0.25">
      <c r="B40" s="1" t="s">
        <v>281</v>
      </c>
    </row>
    <row r="41" spans="1:9" x14ac:dyDescent="0.25">
      <c r="B41" s="1" t="s">
        <v>282</v>
      </c>
    </row>
    <row r="44" spans="1:9" x14ac:dyDescent="0.25">
      <c r="B44" s="1" t="s">
        <v>89</v>
      </c>
      <c r="C44" s="1" t="s">
        <v>90</v>
      </c>
    </row>
    <row r="45" spans="1:9" x14ac:dyDescent="0.25">
      <c r="B45" s="1" t="s">
        <v>86</v>
      </c>
      <c r="C45" s="1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25" workbookViewId="0">
      <selection activeCell="B48" sqref="B48:C49"/>
    </sheetView>
  </sheetViews>
  <sheetFormatPr defaultColWidth="30" defaultRowHeight="13.2" x14ac:dyDescent="0.25"/>
  <cols>
    <col min="1" max="1" width="6.77734375" style="1" customWidth="1"/>
    <col min="2" max="2" width="20.44140625" style="1" customWidth="1"/>
    <col min="3" max="3" width="21.6640625" style="1" customWidth="1"/>
    <col min="4" max="4" width="10.33203125" style="1" customWidth="1"/>
    <col min="5" max="5" width="13.5546875" style="1" customWidth="1"/>
    <col min="6" max="7" width="8.77734375" style="17" customWidth="1"/>
    <col min="8" max="8" width="16.21875" style="17" customWidth="1"/>
    <col min="9" max="9" width="15.21875" style="17" customWidth="1"/>
    <col min="10" max="16384" width="30" style="1"/>
  </cols>
  <sheetData>
    <row r="1" spans="1:9" x14ac:dyDescent="0.25">
      <c r="A1" s="1" t="s">
        <v>0</v>
      </c>
      <c r="D1" s="2"/>
      <c r="E1" s="2"/>
      <c r="F1" s="2"/>
      <c r="G1" s="2"/>
      <c r="H1" s="2"/>
      <c r="I1" s="2"/>
    </row>
    <row r="2" spans="1:9" x14ac:dyDescent="0.25">
      <c r="A2" s="1" t="s">
        <v>1</v>
      </c>
      <c r="D2" s="2"/>
      <c r="E2" s="2"/>
      <c r="F2" s="2"/>
      <c r="G2" s="2"/>
      <c r="H2" s="2"/>
      <c r="I2" s="2"/>
    </row>
    <row r="3" spans="1:9" x14ac:dyDescent="0.25">
      <c r="D3" s="2"/>
      <c r="E3" s="2"/>
      <c r="F3" s="2"/>
      <c r="G3" s="2"/>
      <c r="H3" s="2"/>
      <c r="I3" s="2"/>
    </row>
    <row r="4" spans="1:9" x14ac:dyDescent="0.25">
      <c r="A4" s="1" t="s">
        <v>21</v>
      </c>
      <c r="D4" s="2"/>
      <c r="E4" s="2"/>
      <c r="F4" s="2"/>
      <c r="G4" s="2"/>
      <c r="H4" s="2"/>
      <c r="I4" s="2"/>
    </row>
    <row r="5" spans="1:9" x14ac:dyDescent="0.25">
      <c r="A5" s="1" t="s">
        <v>22</v>
      </c>
      <c r="D5" s="2"/>
      <c r="E5" s="2"/>
      <c r="F5" s="2"/>
      <c r="G5" s="2"/>
      <c r="H5" s="2"/>
      <c r="I5" s="2"/>
    </row>
    <row r="6" spans="1:9" x14ac:dyDescent="0.25">
      <c r="D6" s="2"/>
      <c r="E6" s="2"/>
      <c r="F6" s="2"/>
      <c r="G6" s="2"/>
      <c r="H6" s="2"/>
      <c r="I6" s="2"/>
    </row>
    <row r="7" spans="1:9" x14ac:dyDescent="0.25">
      <c r="A7" s="1" t="s">
        <v>2</v>
      </c>
      <c r="D7" s="2"/>
      <c r="E7" s="2"/>
      <c r="F7" s="2"/>
      <c r="G7" s="2"/>
      <c r="H7" s="2"/>
      <c r="I7" s="2"/>
    </row>
    <row r="8" spans="1:9" x14ac:dyDescent="0.25">
      <c r="A8" s="1" t="s">
        <v>204</v>
      </c>
      <c r="D8" s="2"/>
      <c r="E8" s="2"/>
      <c r="F8" s="2"/>
      <c r="G8" s="2"/>
      <c r="H8" s="2"/>
      <c r="I8" s="2"/>
    </row>
    <row r="9" spans="1:9" x14ac:dyDescent="0.25">
      <c r="D9" s="2"/>
      <c r="E9" s="2"/>
      <c r="F9" s="2"/>
      <c r="G9" s="2"/>
      <c r="H9" s="2"/>
      <c r="I9" s="2"/>
    </row>
    <row r="10" spans="1:9" x14ac:dyDescent="0.25">
      <c r="A10" s="1" t="s">
        <v>283</v>
      </c>
      <c r="D10" s="2"/>
      <c r="E10" s="2"/>
      <c r="F10" s="2"/>
      <c r="G10" s="2"/>
      <c r="H10" s="2"/>
      <c r="I10" s="2"/>
    </row>
    <row r="11" spans="1:9" x14ac:dyDescent="0.25">
      <c r="A11" s="1" t="s">
        <v>284</v>
      </c>
      <c r="D11" s="2"/>
      <c r="E11" s="2"/>
      <c r="F11" s="2"/>
      <c r="G11" s="2"/>
      <c r="H11" s="2"/>
      <c r="I11" s="2"/>
    </row>
    <row r="12" spans="1:9" x14ac:dyDescent="0.25">
      <c r="A12" s="1" t="s">
        <v>268</v>
      </c>
      <c r="D12" s="2"/>
      <c r="E12" s="2"/>
      <c r="F12" s="2"/>
      <c r="G12" s="2"/>
      <c r="H12" s="2"/>
      <c r="I12" s="2"/>
    </row>
    <row r="13" spans="1:9" x14ac:dyDescent="0.25">
      <c r="D13" s="2"/>
      <c r="E13" s="2"/>
      <c r="F13" s="2"/>
      <c r="G13" s="2"/>
      <c r="H13" s="2"/>
      <c r="I13" s="2"/>
    </row>
    <row r="14" spans="1:9" x14ac:dyDescent="0.25">
      <c r="A14" s="1" t="s">
        <v>223</v>
      </c>
      <c r="D14" s="2"/>
      <c r="E14" s="2"/>
      <c r="F14" s="2"/>
      <c r="G14" s="2"/>
      <c r="H14" s="2"/>
      <c r="I14" s="2"/>
    </row>
    <row r="15" spans="1:9" x14ac:dyDescent="0.25">
      <c r="A15" s="1" t="s">
        <v>285</v>
      </c>
      <c r="D15" s="2"/>
      <c r="E15" s="2"/>
      <c r="F15" s="2"/>
      <c r="G15" s="2"/>
      <c r="H15" s="2"/>
      <c r="I15" s="2"/>
    </row>
    <row r="16" spans="1:9" x14ac:dyDescent="0.25">
      <c r="D16" s="2"/>
      <c r="E16" s="2"/>
      <c r="F16" s="2"/>
      <c r="G16" s="2"/>
      <c r="H16" s="2"/>
      <c r="I16" s="2"/>
    </row>
    <row r="17" spans="1:9" x14ac:dyDescent="0.25">
      <c r="A17" s="1" t="s">
        <v>187</v>
      </c>
      <c r="D17" s="2"/>
      <c r="E17" s="2"/>
      <c r="F17" s="2"/>
      <c r="G17" s="2"/>
      <c r="H17" s="2"/>
      <c r="I17" s="2"/>
    </row>
    <row r="18" spans="1:9" x14ac:dyDescent="0.25">
      <c r="D18" s="2"/>
      <c r="E18" s="2"/>
      <c r="F18" s="2"/>
      <c r="G18" s="2"/>
      <c r="H18" s="2"/>
      <c r="I18" s="2"/>
    </row>
    <row r="19" spans="1:9" x14ac:dyDescent="0.25">
      <c r="B19"/>
      <c r="D19" s="2"/>
      <c r="E19" s="47"/>
      <c r="F19" s="2"/>
      <c r="G19" s="2"/>
      <c r="H19" s="2"/>
      <c r="I19" s="2"/>
    </row>
    <row r="20" spans="1:9" ht="26.4" x14ac:dyDescent="0.25">
      <c r="A20" s="45" t="s">
        <v>29</v>
      </c>
      <c r="B20" s="45" t="s">
        <v>31</v>
      </c>
      <c r="C20" s="45" t="s">
        <v>30</v>
      </c>
      <c r="D20" s="45" t="s">
        <v>32</v>
      </c>
      <c r="E20" s="45" t="s">
        <v>212</v>
      </c>
      <c r="F20" s="45" t="s">
        <v>36</v>
      </c>
      <c r="G20" s="45" t="s">
        <v>37</v>
      </c>
      <c r="H20" s="45" t="s">
        <v>33</v>
      </c>
      <c r="I20" s="45" t="s">
        <v>38</v>
      </c>
    </row>
    <row r="21" spans="1:9" x14ac:dyDescent="0.25">
      <c r="A21" s="48">
        <v>1</v>
      </c>
      <c r="B21" s="40" t="s">
        <v>191</v>
      </c>
      <c r="C21" s="40" t="s">
        <v>113</v>
      </c>
      <c r="D21" s="48">
        <v>88</v>
      </c>
      <c r="E21" s="49">
        <v>3.8877314814814816E-2</v>
      </c>
      <c r="F21" s="48">
        <v>1</v>
      </c>
      <c r="G21" s="42">
        <v>33</v>
      </c>
      <c r="H21" s="42" t="s">
        <v>45</v>
      </c>
      <c r="I21" s="42" t="s">
        <v>45</v>
      </c>
    </row>
    <row r="22" spans="1:9" x14ac:dyDescent="0.25">
      <c r="A22" s="48">
        <v>2</v>
      </c>
      <c r="B22" s="40" t="s">
        <v>193</v>
      </c>
      <c r="C22" s="40" t="s">
        <v>293</v>
      </c>
      <c r="D22" s="48">
        <v>87</v>
      </c>
      <c r="E22" s="49">
        <v>4.0567129629629627E-2</v>
      </c>
      <c r="F22" s="48">
        <v>2</v>
      </c>
      <c r="G22" s="42" t="s">
        <v>277</v>
      </c>
      <c r="H22" s="42" t="s">
        <v>45</v>
      </c>
      <c r="I22" s="42" t="s">
        <v>45</v>
      </c>
    </row>
    <row r="23" spans="1:9" x14ac:dyDescent="0.25">
      <c r="A23" s="48">
        <v>3</v>
      </c>
      <c r="B23" s="40" t="s">
        <v>177</v>
      </c>
      <c r="C23" s="40" t="s">
        <v>245</v>
      </c>
      <c r="D23" s="48">
        <v>96</v>
      </c>
      <c r="E23" s="49">
        <v>4.2453703703703709E-2</v>
      </c>
      <c r="F23" s="48">
        <v>3</v>
      </c>
      <c r="G23" s="42" t="s">
        <v>277</v>
      </c>
      <c r="H23" s="42" t="s">
        <v>45</v>
      </c>
      <c r="I23" s="42" t="s">
        <v>45</v>
      </c>
    </row>
    <row r="24" spans="1:9" x14ac:dyDescent="0.25">
      <c r="A24" s="48">
        <v>4</v>
      </c>
      <c r="B24" s="40" t="s">
        <v>178</v>
      </c>
      <c r="C24" s="40" t="s">
        <v>113</v>
      </c>
      <c r="D24" s="48">
        <v>97</v>
      </c>
      <c r="E24" s="49">
        <v>4.3020833333333335E-2</v>
      </c>
      <c r="F24" s="48">
        <v>4</v>
      </c>
      <c r="G24" s="42">
        <v>30</v>
      </c>
      <c r="H24" s="42" t="s">
        <v>45</v>
      </c>
      <c r="I24" s="42" t="s">
        <v>45</v>
      </c>
    </row>
    <row r="25" spans="1:9" x14ac:dyDescent="0.25">
      <c r="A25" s="48">
        <v>5</v>
      </c>
      <c r="B25" s="40" t="s">
        <v>180</v>
      </c>
      <c r="C25" s="40" t="s">
        <v>116</v>
      </c>
      <c r="D25" s="48">
        <v>95</v>
      </c>
      <c r="E25" s="49">
        <v>4.5937499999999999E-2</v>
      </c>
      <c r="F25" s="48">
        <v>5</v>
      </c>
      <c r="G25" s="42">
        <v>27</v>
      </c>
      <c r="H25" s="42" t="s">
        <v>45</v>
      </c>
      <c r="I25" s="42"/>
    </row>
    <row r="26" spans="1:9" x14ac:dyDescent="0.25">
      <c r="A26" s="48">
        <v>6</v>
      </c>
      <c r="B26" s="40" t="s">
        <v>190</v>
      </c>
      <c r="C26" s="40" t="s">
        <v>293</v>
      </c>
      <c r="D26" s="48">
        <v>90</v>
      </c>
      <c r="E26" s="49">
        <v>4.6527777777777779E-2</v>
      </c>
      <c r="F26" s="48">
        <v>6</v>
      </c>
      <c r="G26" s="42" t="s">
        <v>277</v>
      </c>
      <c r="H26" s="42" t="s">
        <v>44</v>
      </c>
      <c r="I26" s="42"/>
    </row>
    <row r="27" spans="1:9" x14ac:dyDescent="0.25">
      <c r="A27" s="48">
        <v>7</v>
      </c>
      <c r="B27" s="40" t="s">
        <v>286</v>
      </c>
      <c r="C27" s="40" t="s">
        <v>114</v>
      </c>
      <c r="D27" s="48">
        <v>93</v>
      </c>
      <c r="E27" s="49">
        <v>4.6689814814814816E-2</v>
      </c>
      <c r="F27" s="48">
        <v>7</v>
      </c>
      <c r="G27" s="42">
        <v>25</v>
      </c>
      <c r="H27" s="42" t="s">
        <v>45</v>
      </c>
      <c r="I27" s="42"/>
    </row>
    <row r="28" spans="1:9" x14ac:dyDescent="0.25">
      <c r="A28" s="48">
        <v>8</v>
      </c>
      <c r="B28" s="40" t="s">
        <v>196</v>
      </c>
      <c r="C28" s="40" t="s">
        <v>293</v>
      </c>
      <c r="D28" s="48">
        <v>81</v>
      </c>
      <c r="E28" s="49">
        <v>4.7569444444444442E-2</v>
      </c>
      <c r="F28" s="48">
        <v>8</v>
      </c>
      <c r="G28" s="42" t="s">
        <v>277</v>
      </c>
      <c r="H28" s="42" t="s">
        <v>45</v>
      </c>
      <c r="I28" s="42"/>
    </row>
    <row r="29" spans="1:9" x14ac:dyDescent="0.25">
      <c r="A29" s="48">
        <v>9</v>
      </c>
      <c r="B29" s="40" t="s">
        <v>181</v>
      </c>
      <c r="C29" s="40" t="s">
        <v>114</v>
      </c>
      <c r="D29" s="48">
        <v>84</v>
      </c>
      <c r="E29" s="49">
        <v>4.7650462962962964E-2</v>
      </c>
      <c r="F29" s="48">
        <v>9</v>
      </c>
      <c r="G29" s="42">
        <v>24</v>
      </c>
      <c r="H29" s="42" t="s">
        <v>45</v>
      </c>
      <c r="I29" s="42"/>
    </row>
    <row r="30" spans="1:9" x14ac:dyDescent="0.25">
      <c r="A30" s="48">
        <v>10</v>
      </c>
      <c r="B30" s="40" t="s">
        <v>197</v>
      </c>
      <c r="C30" s="40" t="s">
        <v>245</v>
      </c>
      <c r="D30" s="48">
        <v>82</v>
      </c>
      <c r="E30" s="49">
        <v>4.9212962962962958E-2</v>
      </c>
      <c r="F30" s="48">
        <v>10</v>
      </c>
      <c r="G30" s="42" t="s">
        <v>277</v>
      </c>
      <c r="H30" s="42" t="s">
        <v>45</v>
      </c>
      <c r="I30" s="42"/>
    </row>
    <row r="31" spans="1:9" x14ac:dyDescent="0.25">
      <c r="A31" s="48">
        <v>11</v>
      </c>
      <c r="B31" s="40" t="s">
        <v>183</v>
      </c>
      <c r="C31" s="40" t="s">
        <v>280</v>
      </c>
      <c r="D31" s="48">
        <v>92</v>
      </c>
      <c r="E31" s="49">
        <v>4.9895833333333334E-2</v>
      </c>
      <c r="F31" s="48">
        <v>11</v>
      </c>
      <c r="G31" s="42">
        <v>23</v>
      </c>
      <c r="H31" s="42" t="s">
        <v>45</v>
      </c>
      <c r="I31" s="42"/>
    </row>
    <row r="32" spans="1:9" x14ac:dyDescent="0.25">
      <c r="A32" s="48">
        <v>12</v>
      </c>
      <c r="B32" s="40" t="s">
        <v>195</v>
      </c>
      <c r="C32" s="40" t="s">
        <v>116</v>
      </c>
      <c r="D32" s="48">
        <v>86</v>
      </c>
      <c r="E32" s="49">
        <v>5.0266203703703709E-2</v>
      </c>
      <c r="F32" s="48">
        <v>12</v>
      </c>
      <c r="G32" s="42">
        <v>22</v>
      </c>
      <c r="H32" s="42" t="s">
        <v>45</v>
      </c>
      <c r="I32" s="42"/>
    </row>
    <row r="33" spans="1:9" x14ac:dyDescent="0.25">
      <c r="A33" s="48">
        <v>13</v>
      </c>
      <c r="B33" s="40" t="s">
        <v>287</v>
      </c>
      <c r="C33" s="40" t="s">
        <v>294</v>
      </c>
      <c r="D33" s="48">
        <v>94</v>
      </c>
      <c r="E33" s="49">
        <v>5.5E-2</v>
      </c>
      <c r="F33" s="48">
        <v>13</v>
      </c>
      <c r="G33" s="42" t="s">
        <v>277</v>
      </c>
      <c r="H33" s="42" t="s">
        <v>45</v>
      </c>
      <c r="I33" s="42"/>
    </row>
    <row r="34" spans="1:9" x14ac:dyDescent="0.25">
      <c r="A34" s="48">
        <v>14</v>
      </c>
      <c r="B34" s="40" t="s">
        <v>288</v>
      </c>
      <c r="C34" s="40" t="s">
        <v>115</v>
      </c>
      <c r="D34" s="48">
        <v>99</v>
      </c>
      <c r="E34" s="49">
        <v>5.5162037037037037E-2</v>
      </c>
      <c r="F34" s="48">
        <v>14</v>
      </c>
      <c r="G34" s="42">
        <v>21</v>
      </c>
      <c r="H34" s="42" t="s">
        <v>45</v>
      </c>
      <c r="I34" s="42"/>
    </row>
    <row r="35" spans="1:9" x14ac:dyDescent="0.25">
      <c r="A35" s="48">
        <v>15</v>
      </c>
      <c r="B35" s="40" t="s">
        <v>289</v>
      </c>
      <c r="C35" s="40" t="s">
        <v>294</v>
      </c>
      <c r="D35" s="48">
        <v>91</v>
      </c>
      <c r="E35" s="49">
        <v>5.9976851851851858E-2</v>
      </c>
      <c r="F35" s="48">
        <v>15</v>
      </c>
      <c r="G35" s="42" t="s">
        <v>277</v>
      </c>
      <c r="H35" s="42" t="s">
        <v>45</v>
      </c>
      <c r="I35" s="42"/>
    </row>
    <row r="36" spans="1:9" x14ac:dyDescent="0.25">
      <c r="A36" s="48">
        <v>16</v>
      </c>
      <c r="B36" s="40" t="s">
        <v>184</v>
      </c>
      <c r="C36" s="40" t="s">
        <v>280</v>
      </c>
      <c r="D36" s="48">
        <v>83</v>
      </c>
      <c r="E36" s="49">
        <v>6.2615740740740736E-2</v>
      </c>
      <c r="F36" s="48">
        <v>16</v>
      </c>
      <c r="G36" s="42">
        <v>20</v>
      </c>
      <c r="H36" s="42" t="s">
        <v>45</v>
      </c>
      <c r="I36" s="42"/>
    </row>
    <row r="37" spans="1:9" x14ac:dyDescent="0.25">
      <c r="A37" s="48">
        <v>17</v>
      </c>
      <c r="B37" s="40" t="s">
        <v>182</v>
      </c>
      <c r="C37" s="40" t="s">
        <v>115</v>
      </c>
      <c r="D37" s="48">
        <v>100</v>
      </c>
      <c r="E37" s="49">
        <v>7.0729166666666662E-2</v>
      </c>
      <c r="F37" s="48">
        <v>17</v>
      </c>
      <c r="G37" s="42">
        <v>19</v>
      </c>
      <c r="H37" s="42" t="s">
        <v>45</v>
      </c>
      <c r="I37" s="42"/>
    </row>
    <row r="38" spans="1:9" x14ac:dyDescent="0.25">
      <c r="A38" s="48">
        <v>18</v>
      </c>
      <c r="B38" s="40" t="s">
        <v>290</v>
      </c>
      <c r="C38" s="40" t="s">
        <v>294</v>
      </c>
      <c r="D38" s="42">
        <v>85</v>
      </c>
      <c r="E38" s="49">
        <v>7.9537037037037031E-2</v>
      </c>
      <c r="F38" s="48">
        <v>18</v>
      </c>
      <c r="G38" s="42" t="s">
        <v>277</v>
      </c>
      <c r="H38" s="42" t="s">
        <v>45</v>
      </c>
      <c r="I38" s="42"/>
    </row>
    <row r="39" spans="1:9" x14ac:dyDescent="0.25">
      <c r="A39" s="48">
        <v>19</v>
      </c>
      <c r="B39" s="40" t="s">
        <v>291</v>
      </c>
      <c r="C39" s="40" t="s">
        <v>118</v>
      </c>
      <c r="D39" s="42">
        <v>89</v>
      </c>
      <c r="E39" s="49">
        <v>8.6458333333333345E-2</v>
      </c>
      <c r="F39" s="48">
        <v>19</v>
      </c>
      <c r="G39" s="42">
        <v>18</v>
      </c>
      <c r="H39" s="42" t="s">
        <v>45</v>
      </c>
      <c r="I39" s="42"/>
    </row>
    <row r="40" spans="1:9" x14ac:dyDescent="0.25">
      <c r="A40" s="48">
        <v>20</v>
      </c>
      <c r="B40" s="40" t="s">
        <v>201</v>
      </c>
      <c r="C40" s="40" t="s">
        <v>118</v>
      </c>
      <c r="D40" s="42">
        <v>98</v>
      </c>
      <c r="E40" s="51" t="s">
        <v>292</v>
      </c>
      <c r="F40" s="42"/>
      <c r="G40" s="42"/>
      <c r="H40" s="42"/>
      <c r="I40" s="42"/>
    </row>
    <row r="41" spans="1:9" x14ac:dyDescent="0.25">
      <c r="B41"/>
    </row>
    <row r="42" spans="1:9" x14ac:dyDescent="0.25">
      <c r="B42"/>
    </row>
    <row r="43" spans="1:9" x14ac:dyDescent="0.25">
      <c r="B43" s="1" t="s">
        <v>85</v>
      </c>
    </row>
    <row r="44" spans="1:9" x14ac:dyDescent="0.25">
      <c r="B44" s="1" t="s">
        <v>281</v>
      </c>
    </row>
    <row r="45" spans="1:9" x14ac:dyDescent="0.25">
      <c r="B45" s="1" t="s">
        <v>295</v>
      </c>
    </row>
    <row r="48" spans="1:9" x14ac:dyDescent="0.25">
      <c r="B48" s="1" t="s">
        <v>89</v>
      </c>
      <c r="C48" s="1" t="s">
        <v>90</v>
      </c>
    </row>
    <row r="49" spans="2:3" x14ac:dyDescent="0.25">
      <c r="B49" s="1" t="s">
        <v>86</v>
      </c>
      <c r="C49" s="1" t="s">
        <v>91</v>
      </c>
    </row>
    <row r="50" spans="2:3" x14ac:dyDescent="0.25">
      <c r="B50"/>
    </row>
    <row r="51" spans="2:3" x14ac:dyDescent="0.25">
      <c r="B51"/>
    </row>
    <row r="52" spans="2:3" x14ac:dyDescent="0.25">
      <c r="B52"/>
    </row>
    <row r="53" spans="2:3" x14ac:dyDescent="0.25">
      <c r="B53"/>
    </row>
    <row r="54" spans="2:3" x14ac:dyDescent="0.25">
      <c r="B54"/>
    </row>
    <row r="55" spans="2:3" x14ac:dyDescent="0.25">
      <c r="B55"/>
    </row>
    <row r="56" spans="2:3" x14ac:dyDescent="0.25">
      <c r="B56"/>
    </row>
    <row r="57" spans="2:3" x14ac:dyDescent="0.25">
      <c r="B57"/>
    </row>
    <row r="58" spans="2:3" x14ac:dyDescent="0.25">
      <c r="B58"/>
    </row>
    <row r="59" spans="2:3" x14ac:dyDescent="0.25">
      <c r="B5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31" workbookViewId="0">
      <selection activeCell="B35" sqref="B35:C37"/>
    </sheetView>
  </sheetViews>
  <sheetFormatPr defaultColWidth="8.33203125" defaultRowHeight="13.2" x14ac:dyDescent="0.25"/>
  <cols>
    <col min="1" max="1" width="6.44140625" style="1" customWidth="1"/>
    <col min="2" max="2" width="21.44140625" style="1" customWidth="1"/>
    <col min="3" max="5" width="8.33203125" style="1"/>
    <col min="6" max="6" width="8.6640625" style="1" customWidth="1"/>
    <col min="7" max="16384" width="8.33203125" style="1"/>
  </cols>
  <sheetData>
    <row r="1" spans="1:8" x14ac:dyDescent="0.25">
      <c r="A1" s="1" t="s">
        <v>0</v>
      </c>
    </row>
    <row r="2" spans="1:8" x14ac:dyDescent="0.25">
      <c r="A2" s="1" t="s">
        <v>1</v>
      </c>
    </row>
    <row r="4" spans="1:8" x14ac:dyDescent="0.25">
      <c r="A4" s="1" t="s">
        <v>21</v>
      </c>
    </row>
    <row r="5" spans="1:8" x14ac:dyDescent="0.25">
      <c r="A5" s="1" t="s">
        <v>22</v>
      </c>
    </row>
    <row r="7" spans="1:8" x14ac:dyDescent="0.25">
      <c r="A7" s="1" t="s">
        <v>296</v>
      </c>
    </row>
    <row r="8" spans="1:8" x14ac:dyDescent="0.25">
      <c r="A8" s="1" t="s">
        <v>297</v>
      </c>
    </row>
    <row r="10" spans="1:8" x14ac:dyDescent="0.25">
      <c r="A10" s="1" t="s">
        <v>298</v>
      </c>
    </row>
    <row r="14" spans="1:8" ht="32.4" customHeight="1" x14ac:dyDescent="0.25">
      <c r="A14" s="54" t="s">
        <v>29</v>
      </c>
      <c r="B14" s="54" t="s">
        <v>30</v>
      </c>
      <c r="C14" s="54" t="s">
        <v>299</v>
      </c>
      <c r="D14" s="54"/>
      <c r="E14" s="54" t="s">
        <v>302</v>
      </c>
      <c r="F14" s="54"/>
      <c r="G14" s="54" t="s">
        <v>303</v>
      </c>
      <c r="H14" s="54" t="s">
        <v>36</v>
      </c>
    </row>
    <row r="15" spans="1:8" ht="26.4" customHeight="1" x14ac:dyDescent="0.25">
      <c r="A15" s="54"/>
      <c r="B15" s="54"/>
      <c r="C15" s="45" t="s">
        <v>300</v>
      </c>
      <c r="D15" s="45" t="s">
        <v>301</v>
      </c>
      <c r="E15" s="45" t="s">
        <v>300</v>
      </c>
      <c r="F15" s="45" t="s">
        <v>301</v>
      </c>
      <c r="G15" s="54"/>
      <c r="H15" s="54"/>
    </row>
    <row r="16" spans="1:8" ht="22.8" customHeight="1" x14ac:dyDescent="0.25">
      <c r="A16" s="55" t="s">
        <v>304</v>
      </c>
      <c r="B16" s="55"/>
      <c r="C16" s="55"/>
      <c r="D16" s="55"/>
      <c r="E16" s="55"/>
      <c r="F16" s="55"/>
      <c r="G16" s="55"/>
      <c r="H16" s="55"/>
    </row>
    <row r="17" spans="1:8" x14ac:dyDescent="0.25">
      <c r="A17" s="48">
        <v>1</v>
      </c>
      <c r="B17" s="40" t="s">
        <v>46</v>
      </c>
      <c r="C17" s="48">
        <v>1</v>
      </c>
      <c r="D17" s="48">
        <v>3</v>
      </c>
      <c r="E17" s="48">
        <v>1</v>
      </c>
      <c r="F17" s="48">
        <v>2</v>
      </c>
      <c r="G17" s="48">
        <f>SUM(C17:F17)</f>
        <v>7</v>
      </c>
      <c r="H17" s="48">
        <v>1</v>
      </c>
    </row>
    <row r="18" spans="1:8" x14ac:dyDescent="0.25">
      <c r="A18" s="48">
        <v>2</v>
      </c>
      <c r="B18" s="40" t="s">
        <v>39</v>
      </c>
      <c r="C18" s="48">
        <v>3</v>
      </c>
      <c r="D18" s="48">
        <v>2</v>
      </c>
      <c r="E18" s="48">
        <v>4</v>
      </c>
      <c r="F18" s="48">
        <v>1</v>
      </c>
      <c r="G18" s="48">
        <f t="shared" ref="G18:G25" si="0">SUM(C18:F18)</f>
        <v>10</v>
      </c>
      <c r="H18" s="48">
        <v>2</v>
      </c>
    </row>
    <row r="19" spans="1:8" x14ac:dyDescent="0.25">
      <c r="A19" s="48">
        <v>3</v>
      </c>
      <c r="B19" s="40" t="s">
        <v>70</v>
      </c>
      <c r="C19" s="48">
        <v>2</v>
      </c>
      <c r="D19" s="48">
        <v>4</v>
      </c>
      <c r="E19" s="48">
        <v>2</v>
      </c>
      <c r="F19" s="48">
        <v>7</v>
      </c>
      <c r="G19" s="48">
        <f t="shared" si="0"/>
        <v>15</v>
      </c>
      <c r="H19" s="48">
        <v>3</v>
      </c>
    </row>
    <row r="20" spans="1:8" x14ac:dyDescent="0.25">
      <c r="A20" s="48">
        <v>4</v>
      </c>
      <c r="B20" s="40" t="s">
        <v>47</v>
      </c>
      <c r="C20" s="48">
        <v>7</v>
      </c>
      <c r="D20" s="48">
        <v>5</v>
      </c>
      <c r="E20" s="48">
        <v>3</v>
      </c>
      <c r="F20" s="48">
        <v>3</v>
      </c>
      <c r="G20" s="48">
        <f t="shared" si="0"/>
        <v>18</v>
      </c>
      <c r="H20" s="48">
        <v>4</v>
      </c>
    </row>
    <row r="21" spans="1:8" x14ac:dyDescent="0.25">
      <c r="A21" s="48">
        <v>5</v>
      </c>
      <c r="B21" s="40" t="s">
        <v>49</v>
      </c>
      <c r="C21" s="48">
        <v>5</v>
      </c>
      <c r="D21" s="48">
        <v>1</v>
      </c>
      <c r="E21" s="48">
        <v>7</v>
      </c>
      <c r="F21" s="48">
        <v>5</v>
      </c>
      <c r="G21" s="48">
        <f t="shared" si="0"/>
        <v>18</v>
      </c>
      <c r="H21" s="48">
        <v>5</v>
      </c>
    </row>
    <row r="22" spans="1:8" x14ac:dyDescent="0.25">
      <c r="A22" s="48">
        <v>6</v>
      </c>
      <c r="B22" s="40" t="s">
        <v>69</v>
      </c>
      <c r="C22" s="48">
        <v>4</v>
      </c>
      <c r="D22" s="48">
        <v>7</v>
      </c>
      <c r="E22" s="48">
        <v>8</v>
      </c>
      <c r="F22" s="48">
        <v>6</v>
      </c>
      <c r="G22" s="48">
        <f t="shared" si="0"/>
        <v>25</v>
      </c>
      <c r="H22" s="48">
        <v>6</v>
      </c>
    </row>
    <row r="23" spans="1:8" x14ac:dyDescent="0.25">
      <c r="A23" s="48">
        <v>7</v>
      </c>
      <c r="B23" s="40" t="s">
        <v>48</v>
      </c>
      <c r="C23" s="48">
        <v>8</v>
      </c>
      <c r="D23" s="48">
        <v>8</v>
      </c>
      <c r="E23" s="48">
        <v>6</v>
      </c>
      <c r="F23" s="48">
        <v>4</v>
      </c>
      <c r="G23" s="48">
        <f t="shared" si="0"/>
        <v>26</v>
      </c>
      <c r="H23" s="48">
        <v>7</v>
      </c>
    </row>
    <row r="24" spans="1:8" x14ac:dyDescent="0.25">
      <c r="A24" s="48">
        <v>8</v>
      </c>
      <c r="B24" s="40" t="s">
        <v>75</v>
      </c>
      <c r="C24" s="48">
        <v>9</v>
      </c>
      <c r="D24" s="48">
        <v>6</v>
      </c>
      <c r="E24" s="48">
        <v>5</v>
      </c>
      <c r="F24" s="48">
        <v>8</v>
      </c>
      <c r="G24" s="48">
        <f t="shared" si="0"/>
        <v>28</v>
      </c>
      <c r="H24" s="48">
        <v>8</v>
      </c>
    </row>
    <row r="25" spans="1:8" x14ac:dyDescent="0.25">
      <c r="A25" s="48">
        <v>9</v>
      </c>
      <c r="B25" s="40" t="s">
        <v>76</v>
      </c>
      <c r="C25" s="48">
        <v>6</v>
      </c>
      <c r="D25" s="48">
        <v>9</v>
      </c>
      <c r="E25" s="48">
        <v>9</v>
      </c>
      <c r="F25" s="48">
        <v>9</v>
      </c>
      <c r="G25" s="48">
        <f t="shared" si="0"/>
        <v>33</v>
      </c>
      <c r="H25" s="48">
        <v>9</v>
      </c>
    </row>
    <row r="26" spans="1:8" ht="22.2" customHeight="1" x14ac:dyDescent="0.25">
      <c r="A26" s="55" t="s">
        <v>305</v>
      </c>
      <c r="B26" s="55"/>
      <c r="C26" s="55"/>
      <c r="D26" s="55"/>
      <c r="E26" s="55"/>
      <c r="F26" s="55"/>
      <c r="G26" s="55"/>
      <c r="H26" s="55"/>
    </row>
    <row r="27" spans="1:8" x14ac:dyDescent="0.25">
      <c r="A27" s="48">
        <v>1</v>
      </c>
      <c r="B27" s="40" t="s">
        <v>113</v>
      </c>
      <c r="C27" s="48">
        <v>1</v>
      </c>
      <c r="D27" s="48">
        <v>1</v>
      </c>
      <c r="E27" s="48">
        <v>1</v>
      </c>
      <c r="F27" s="48">
        <v>1</v>
      </c>
      <c r="G27" s="48">
        <f>SUM(C27:F27)</f>
        <v>4</v>
      </c>
      <c r="H27" s="48">
        <v>1</v>
      </c>
    </row>
    <row r="28" spans="1:8" x14ac:dyDescent="0.25">
      <c r="A28" s="48">
        <v>2</v>
      </c>
      <c r="B28" s="40" t="s">
        <v>114</v>
      </c>
      <c r="C28" s="48">
        <v>3</v>
      </c>
      <c r="D28" s="48">
        <v>2</v>
      </c>
      <c r="E28" s="48">
        <v>3</v>
      </c>
      <c r="F28" s="48">
        <v>2</v>
      </c>
      <c r="G28" s="48">
        <f t="shared" ref="G28:G32" si="1">SUM(C28:F28)</f>
        <v>10</v>
      </c>
      <c r="H28" s="48">
        <v>2</v>
      </c>
    </row>
    <row r="29" spans="1:8" x14ac:dyDescent="0.25">
      <c r="A29" s="48">
        <v>3</v>
      </c>
      <c r="B29" s="40" t="s">
        <v>116</v>
      </c>
      <c r="C29" s="48">
        <v>2</v>
      </c>
      <c r="D29" s="48">
        <v>6</v>
      </c>
      <c r="E29" s="48">
        <v>2</v>
      </c>
      <c r="F29" s="48">
        <v>4</v>
      </c>
      <c r="G29" s="48">
        <f t="shared" si="1"/>
        <v>14</v>
      </c>
      <c r="H29" s="48">
        <v>3</v>
      </c>
    </row>
    <row r="30" spans="1:8" x14ac:dyDescent="0.25">
      <c r="A30" s="48">
        <v>4</v>
      </c>
      <c r="B30" s="40" t="s">
        <v>115</v>
      </c>
      <c r="C30" s="48">
        <v>5</v>
      </c>
      <c r="D30" s="48">
        <v>3</v>
      </c>
      <c r="E30" s="48">
        <v>4</v>
      </c>
      <c r="F30" s="48">
        <v>3</v>
      </c>
      <c r="G30" s="48">
        <f t="shared" si="1"/>
        <v>15</v>
      </c>
      <c r="H30" s="48">
        <v>4</v>
      </c>
    </row>
    <row r="31" spans="1:8" x14ac:dyDescent="0.25">
      <c r="A31" s="48">
        <v>5</v>
      </c>
      <c r="B31" s="40" t="s">
        <v>117</v>
      </c>
      <c r="C31" s="48">
        <v>4</v>
      </c>
      <c r="D31" s="48">
        <v>4</v>
      </c>
      <c r="E31" s="48">
        <v>5</v>
      </c>
      <c r="F31" s="48">
        <v>5</v>
      </c>
      <c r="G31" s="48">
        <f t="shared" si="1"/>
        <v>18</v>
      </c>
      <c r="H31" s="48">
        <v>5</v>
      </c>
    </row>
    <row r="32" spans="1:8" x14ac:dyDescent="0.25">
      <c r="A32" s="48">
        <v>6</v>
      </c>
      <c r="B32" s="40" t="s">
        <v>118</v>
      </c>
      <c r="C32" s="48">
        <v>6</v>
      </c>
      <c r="D32" s="48">
        <v>5</v>
      </c>
      <c r="E32" s="48">
        <v>6</v>
      </c>
      <c r="F32" s="48">
        <v>8</v>
      </c>
      <c r="G32" s="48">
        <f t="shared" si="1"/>
        <v>25</v>
      </c>
      <c r="H32" s="48">
        <v>6</v>
      </c>
    </row>
    <row r="35" spans="2:3" x14ac:dyDescent="0.25">
      <c r="B35" s="1" t="s">
        <v>89</v>
      </c>
      <c r="C35" s="1" t="s">
        <v>90</v>
      </c>
    </row>
    <row r="36" spans="2:3" x14ac:dyDescent="0.25">
      <c r="B36" s="1" t="s">
        <v>86</v>
      </c>
      <c r="C36" s="1" t="s">
        <v>91</v>
      </c>
    </row>
  </sheetData>
  <mergeCells count="8">
    <mergeCell ref="G14:G15"/>
    <mergeCell ref="H14:H15"/>
    <mergeCell ref="A16:H16"/>
    <mergeCell ref="A26:H26"/>
    <mergeCell ref="A14:A15"/>
    <mergeCell ref="B14:B15"/>
    <mergeCell ref="C14:D14"/>
    <mergeCell ref="E14:F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activeCell="F23" sqref="F23"/>
    </sheetView>
  </sheetViews>
  <sheetFormatPr defaultColWidth="19.88671875" defaultRowHeight="13.2" x14ac:dyDescent="0.25"/>
  <cols>
    <col min="1" max="1" width="8.88671875" style="1" customWidth="1"/>
    <col min="2" max="2" width="19.88671875" style="1"/>
    <col min="3" max="3" width="12.33203125" style="1" customWidth="1"/>
    <col min="4" max="4" width="10.88671875" style="1" customWidth="1"/>
    <col min="5" max="16384" width="19.88671875" style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4" spans="1:4" x14ac:dyDescent="0.25">
      <c r="A4" s="1" t="s">
        <v>21</v>
      </c>
    </row>
    <row r="5" spans="1:4" x14ac:dyDescent="0.25">
      <c r="A5" s="1" t="s">
        <v>22</v>
      </c>
    </row>
    <row r="7" spans="1:4" x14ac:dyDescent="0.25">
      <c r="A7" s="1" t="s">
        <v>311</v>
      </c>
    </row>
    <row r="8" spans="1:4" x14ac:dyDescent="0.25">
      <c r="A8" s="1" t="s">
        <v>314</v>
      </c>
    </row>
    <row r="10" spans="1:4" x14ac:dyDescent="0.25">
      <c r="A10" s="1" t="s">
        <v>223</v>
      </c>
    </row>
    <row r="12" spans="1:4" x14ac:dyDescent="0.25">
      <c r="A12" s="1" t="s">
        <v>28</v>
      </c>
    </row>
    <row r="15" spans="1:4" ht="27" customHeight="1" x14ac:dyDescent="0.25">
      <c r="A15" s="45" t="s">
        <v>29</v>
      </c>
      <c r="B15" s="45" t="s">
        <v>30</v>
      </c>
      <c r="C15" s="45" t="s">
        <v>212</v>
      </c>
      <c r="D15" s="45" t="s">
        <v>36</v>
      </c>
    </row>
    <row r="16" spans="1:4" x14ac:dyDescent="0.25">
      <c r="A16" s="48">
        <v>1</v>
      </c>
      <c r="B16" s="40" t="s">
        <v>49</v>
      </c>
      <c r="C16" s="48">
        <v>73</v>
      </c>
      <c r="D16" s="48">
        <v>1</v>
      </c>
    </row>
    <row r="17" spans="1:4" x14ac:dyDescent="0.25">
      <c r="A17" s="48">
        <v>2</v>
      </c>
      <c r="B17" s="40" t="s">
        <v>39</v>
      </c>
      <c r="C17" s="48">
        <v>69</v>
      </c>
      <c r="D17" s="48">
        <v>2</v>
      </c>
    </row>
    <row r="18" spans="1:4" x14ac:dyDescent="0.25">
      <c r="A18" s="48">
        <v>3</v>
      </c>
      <c r="B18" s="40" t="s">
        <v>46</v>
      </c>
      <c r="C18" s="48">
        <v>54</v>
      </c>
      <c r="D18" s="48">
        <v>3</v>
      </c>
    </row>
    <row r="19" spans="1:4" x14ac:dyDescent="0.25">
      <c r="A19" s="48">
        <v>4</v>
      </c>
      <c r="B19" s="40" t="s">
        <v>70</v>
      </c>
      <c r="C19" s="48">
        <v>48</v>
      </c>
      <c r="D19" s="48">
        <v>4</v>
      </c>
    </row>
    <row r="20" spans="1:4" x14ac:dyDescent="0.25">
      <c r="A20" s="48">
        <v>5</v>
      </c>
      <c r="B20" s="40" t="s">
        <v>47</v>
      </c>
      <c r="C20" s="48">
        <v>45</v>
      </c>
      <c r="D20" s="48">
        <v>5</v>
      </c>
    </row>
    <row r="21" spans="1:4" x14ac:dyDescent="0.25">
      <c r="A21" s="48">
        <v>6</v>
      </c>
      <c r="B21" s="40" t="s">
        <v>75</v>
      </c>
      <c r="C21" s="48">
        <v>42</v>
      </c>
      <c r="D21" s="48">
        <v>6</v>
      </c>
    </row>
    <row r="22" spans="1:4" x14ac:dyDescent="0.25">
      <c r="A22" s="48">
        <v>7</v>
      </c>
      <c r="B22" s="40" t="s">
        <v>69</v>
      </c>
      <c r="C22" s="48">
        <v>36</v>
      </c>
      <c r="D22" s="48">
        <v>7</v>
      </c>
    </row>
    <row r="23" spans="1:4" x14ac:dyDescent="0.25">
      <c r="A23" s="48">
        <v>8</v>
      </c>
      <c r="B23" s="40" t="s">
        <v>48</v>
      </c>
      <c r="C23" s="48">
        <v>25</v>
      </c>
      <c r="D23" s="48">
        <v>8</v>
      </c>
    </row>
    <row r="24" spans="1:4" x14ac:dyDescent="0.25">
      <c r="A24" s="48">
        <v>9</v>
      </c>
      <c r="B24" s="40" t="s">
        <v>76</v>
      </c>
      <c r="C24" s="48">
        <v>17</v>
      </c>
      <c r="D24" s="48">
        <v>9</v>
      </c>
    </row>
    <row r="27" spans="1:4" x14ac:dyDescent="0.25">
      <c r="B27" s="1" t="s">
        <v>89</v>
      </c>
      <c r="C27" s="1" t="s">
        <v>90</v>
      </c>
    </row>
    <row r="28" spans="1:4" x14ac:dyDescent="0.25">
      <c r="B28" s="1" t="s">
        <v>86</v>
      </c>
      <c r="C28" s="1" t="s">
        <v>91</v>
      </c>
    </row>
    <row r="43" spans="1:4" ht="15.6" x14ac:dyDescent="0.25">
      <c r="D43" s="1" t="s">
        <v>313</v>
      </c>
    </row>
    <row r="47" spans="1:4" x14ac:dyDescent="0.25">
      <c r="A47" s="1" t="s">
        <v>306</v>
      </c>
    </row>
    <row r="48" spans="1:4" x14ac:dyDescent="0.25">
      <c r="A48" s="1" t="s">
        <v>307</v>
      </c>
    </row>
    <row r="50" spans="1:1" x14ac:dyDescent="0.25">
      <c r="A50" s="1" t="s">
        <v>308</v>
      </c>
    </row>
    <row r="51" spans="1:1" x14ac:dyDescent="0.25">
      <c r="A51" s="1" t="s">
        <v>309</v>
      </c>
    </row>
    <row r="53" spans="1:1" x14ac:dyDescent="0.25">
      <c r="A53" s="1" t="s">
        <v>310</v>
      </c>
    </row>
    <row r="55" spans="1:1" x14ac:dyDescent="0.25">
      <c r="A55" s="1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activeCell="H31" sqref="H31"/>
    </sheetView>
  </sheetViews>
  <sheetFormatPr defaultColWidth="19.88671875" defaultRowHeight="13.2" x14ac:dyDescent="0.25"/>
  <cols>
    <col min="1" max="1" width="8.88671875" style="1" customWidth="1"/>
    <col min="2" max="2" width="19.88671875" style="1"/>
    <col min="3" max="3" width="12.33203125" style="1" customWidth="1"/>
    <col min="4" max="4" width="10.88671875" style="1" customWidth="1"/>
    <col min="5" max="16384" width="19.88671875" style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4" spans="1:4" x14ac:dyDescent="0.25">
      <c r="A4" s="1" t="s">
        <v>21</v>
      </c>
    </row>
    <row r="5" spans="1:4" x14ac:dyDescent="0.25">
      <c r="A5" s="1" t="s">
        <v>22</v>
      </c>
    </row>
    <row r="7" spans="1:4" x14ac:dyDescent="0.25">
      <c r="A7" s="1" t="s">
        <v>311</v>
      </c>
    </row>
    <row r="8" spans="1:4" x14ac:dyDescent="0.25">
      <c r="A8" s="1" t="s">
        <v>314</v>
      </c>
    </row>
    <row r="10" spans="1:4" x14ac:dyDescent="0.25">
      <c r="A10" s="1" t="s">
        <v>223</v>
      </c>
    </row>
    <row r="12" spans="1:4" x14ac:dyDescent="0.25">
      <c r="A12" s="1" t="s">
        <v>135</v>
      </c>
    </row>
    <row r="15" spans="1:4" ht="27" customHeight="1" x14ac:dyDescent="0.25">
      <c r="A15" s="45" t="s">
        <v>29</v>
      </c>
      <c r="B15" s="45" t="s">
        <v>30</v>
      </c>
      <c r="C15" s="45" t="s">
        <v>212</v>
      </c>
      <c r="D15" s="45" t="s">
        <v>36</v>
      </c>
    </row>
    <row r="16" spans="1:4" x14ac:dyDescent="0.25">
      <c r="A16" s="48">
        <v>1</v>
      </c>
      <c r="B16" s="40" t="s">
        <v>46</v>
      </c>
      <c r="C16" s="48">
        <v>66</v>
      </c>
      <c r="D16" s="48">
        <v>1</v>
      </c>
    </row>
    <row r="17" spans="1:4" x14ac:dyDescent="0.25">
      <c r="A17" s="48">
        <v>2</v>
      </c>
      <c r="B17" s="40" t="s">
        <v>70</v>
      </c>
      <c r="C17" s="48">
        <v>60</v>
      </c>
      <c r="D17" s="48">
        <v>2</v>
      </c>
    </row>
    <row r="18" spans="1:4" x14ac:dyDescent="0.25">
      <c r="A18" s="48">
        <v>3</v>
      </c>
      <c r="B18" s="40" t="s">
        <v>39</v>
      </c>
      <c r="C18" s="48">
        <v>59</v>
      </c>
      <c r="D18" s="48">
        <v>3</v>
      </c>
    </row>
    <row r="19" spans="1:4" x14ac:dyDescent="0.25">
      <c r="A19" s="48">
        <v>4</v>
      </c>
      <c r="B19" s="40" t="s">
        <v>69</v>
      </c>
      <c r="C19" s="48">
        <v>58</v>
      </c>
      <c r="D19" s="48">
        <v>4</v>
      </c>
    </row>
    <row r="20" spans="1:4" x14ac:dyDescent="0.25">
      <c r="A20" s="48">
        <v>5</v>
      </c>
      <c r="B20" s="40" t="s">
        <v>49</v>
      </c>
      <c r="C20" s="48">
        <v>46</v>
      </c>
      <c r="D20" s="48">
        <v>5</v>
      </c>
    </row>
    <row r="21" spans="1:4" x14ac:dyDescent="0.25">
      <c r="A21" s="48">
        <v>6</v>
      </c>
      <c r="B21" s="40" t="s">
        <v>76</v>
      </c>
      <c r="C21" s="48">
        <v>44</v>
      </c>
      <c r="D21" s="48">
        <v>6</v>
      </c>
    </row>
    <row r="22" spans="1:4" x14ac:dyDescent="0.25">
      <c r="A22" s="48">
        <v>7</v>
      </c>
      <c r="B22" s="40" t="s">
        <v>47</v>
      </c>
      <c r="C22" s="48">
        <v>41</v>
      </c>
      <c r="D22" s="48">
        <v>7</v>
      </c>
    </row>
    <row r="23" spans="1:4" x14ac:dyDescent="0.25">
      <c r="A23" s="48">
        <v>8</v>
      </c>
      <c r="B23" s="40" t="s">
        <v>48</v>
      </c>
      <c r="C23" s="48">
        <v>28</v>
      </c>
      <c r="D23" s="48">
        <v>8</v>
      </c>
    </row>
    <row r="24" spans="1:4" x14ac:dyDescent="0.25">
      <c r="A24" s="48">
        <v>9</v>
      </c>
      <c r="B24" s="40" t="s">
        <v>75</v>
      </c>
      <c r="C24" s="48">
        <v>8</v>
      </c>
      <c r="D24" s="48">
        <v>9</v>
      </c>
    </row>
    <row r="27" spans="1:4" x14ac:dyDescent="0.25">
      <c r="B27" s="1" t="s">
        <v>89</v>
      </c>
      <c r="C27" s="1" t="s">
        <v>90</v>
      </c>
    </row>
    <row r="28" spans="1:4" x14ac:dyDescent="0.25">
      <c r="B28" s="1" t="s">
        <v>86</v>
      </c>
      <c r="C28" s="1" t="s">
        <v>91</v>
      </c>
    </row>
    <row r="43" spans="1:4" ht="15.6" x14ac:dyDescent="0.25">
      <c r="D43" s="1" t="s">
        <v>313</v>
      </c>
    </row>
    <row r="47" spans="1:4" x14ac:dyDescent="0.25">
      <c r="A47" s="1" t="s">
        <v>306</v>
      </c>
    </row>
    <row r="48" spans="1:4" x14ac:dyDescent="0.25">
      <c r="A48" s="1" t="s">
        <v>307</v>
      </c>
    </row>
    <row r="50" spans="1:1" x14ac:dyDescent="0.25">
      <c r="A50" s="1" t="s">
        <v>308</v>
      </c>
    </row>
    <row r="51" spans="1:1" x14ac:dyDescent="0.25">
      <c r="A51" s="1" t="s">
        <v>309</v>
      </c>
    </row>
    <row r="53" spans="1:1" x14ac:dyDescent="0.25">
      <c r="A53" s="1" t="s">
        <v>310</v>
      </c>
    </row>
    <row r="55" spans="1:1" x14ac:dyDescent="0.25">
      <c r="A55" s="1" t="s">
        <v>312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>
      <selection activeCell="A5" sqref="A5"/>
    </sheetView>
  </sheetViews>
  <sheetFormatPr defaultRowHeight="13.2" x14ac:dyDescent="0.25"/>
  <cols>
    <col min="1" max="1" width="6.44140625" style="1" customWidth="1"/>
    <col min="2" max="2" width="26" style="1" customWidth="1"/>
    <col min="3" max="3" width="15.33203125" style="2" customWidth="1"/>
    <col min="4" max="9" width="8.6640625" style="2" customWidth="1"/>
    <col min="10" max="10" width="15.33203125" style="2"/>
    <col min="11" max="11" width="8.88671875" style="2"/>
    <col min="12" max="16384" width="8.88671875" style="1"/>
  </cols>
  <sheetData>
    <row r="1" spans="1:19" x14ac:dyDescent="0.25">
      <c r="A1" s="1" t="s">
        <v>364</v>
      </c>
    </row>
    <row r="2" spans="1:19" x14ac:dyDescent="0.25">
      <c r="A2" s="1" t="s">
        <v>220</v>
      </c>
    </row>
    <row r="3" spans="1:19" x14ac:dyDescent="0.25">
      <c r="A3" s="1" t="s">
        <v>365</v>
      </c>
    </row>
    <row r="4" spans="1:19" x14ac:dyDescent="0.25">
      <c r="A4" s="1" t="s">
        <v>514</v>
      </c>
    </row>
    <row r="6" spans="1:19" ht="18" customHeight="1" x14ac:dyDescent="0.25">
      <c r="A6" s="54" t="s">
        <v>29</v>
      </c>
      <c r="B6" s="54" t="s">
        <v>374</v>
      </c>
      <c r="C6" s="54" t="s">
        <v>32</v>
      </c>
      <c r="D6" s="54" t="s">
        <v>375</v>
      </c>
      <c r="E6" s="54"/>
      <c r="F6" s="54"/>
      <c r="G6" s="54"/>
      <c r="H6" s="54"/>
      <c r="I6" s="54"/>
      <c r="J6" s="59" t="s">
        <v>378</v>
      </c>
      <c r="K6" s="59" t="s">
        <v>36</v>
      </c>
    </row>
    <row r="7" spans="1:19" ht="22.2" customHeight="1" x14ac:dyDescent="0.25">
      <c r="A7" s="54"/>
      <c r="B7" s="54"/>
      <c r="C7" s="54"/>
      <c r="D7" s="52" t="s">
        <v>376</v>
      </c>
      <c r="E7" s="60" t="s">
        <v>366</v>
      </c>
      <c r="F7" s="60" t="s">
        <v>367</v>
      </c>
      <c r="G7" s="60" t="s">
        <v>377</v>
      </c>
      <c r="H7" s="60" t="s">
        <v>368</v>
      </c>
      <c r="I7" s="60" t="s">
        <v>369</v>
      </c>
      <c r="J7" s="59"/>
      <c r="K7" s="59"/>
    </row>
    <row r="8" spans="1:19" ht="19.2" customHeight="1" x14ac:dyDescent="0.25">
      <c r="A8" s="65"/>
      <c r="B8" s="65"/>
      <c r="C8" s="65"/>
      <c r="D8" s="66">
        <v>1180</v>
      </c>
      <c r="E8" s="66">
        <v>200</v>
      </c>
      <c r="F8" s="66" t="s">
        <v>370</v>
      </c>
      <c r="G8" s="66" t="s">
        <v>371</v>
      </c>
      <c r="H8" s="66" t="s">
        <v>372</v>
      </c>
      <c r="I8" s="66" t="s">
        <v>373</v>
      </c>
      <c r="J8" s="66">
        <v>7400</v>
      </c>
      <c r="K8" s="53"/>
    </row>
    <row r="9" spans="1:19" x14ac:dyDescent="0.25">
      <c r="A9" s="53">
        <v>1</v>
      </c>
      <c r="B9" s="40" t="s">
        <v>11</v>
      </c>
      <c r="C9" s="53" t="s">
        <v>325</v>
      </c>
      <c r="D9" s="63" t="s">
        <v>383</v>
      </c>
      <c r="E9" s="63" t="s">
        <v>384</v>
      </c>
      <c r="F9" s="63" t="s">
        <v>385</v>
      </c>
      <c r="G9" s="63" t="s">
        <v>382</v>
      </c>
      <c r="H9" s="63" t="s">
        <v>386</v>
      </c>
      <c r="I9" s="63" t="s">
        <v>387</v>
      </c>
      <c r="J9" s="57">
        <v>5.0706018518518518E-2</v>
      </c>
      <c r="K9" s="53">
        <v>1</v>
      </c>
      <c r="N9" s="61"/>
      <c r="O9" s="61"/>
      <c r="P9" s="61"/>
      <c r="Q9" s="62"/>
      <c r="R9" s="61"/>
      <c r="S9" s="61"/>
    </row>
    <row r="10" spans="1:19" x14ac:dyDescent="0.25">
      <c r="A10" s="53">
        <v>2</v>
      </c>
      <c r="B10" s="40" t="s">
        <v>343</v>
      </c>
      <c r="C10" s="53" t="s">
        <v>334</v>
      </c>
      <c r="D10" s="63" t="s">
        <v>388</v>
      </c>
      <c r="E10" s="63" t="s">
        <v>457</v>
      </c>
      <c r="F10" s="63" t="s">
        <v>458</v>
      </c>
      <c r="G10" s="63" t="s">
        <v>459</v>
      </c>
      <c r="H10" s="63" t="s">
        <v>460</v>
      </c>
      <c r="I10" s="63" t="s">
        <v>389</v>
      </c>
      <c r="J10" s="57">
        <v>5.2002314814814814E-2</v>
      </c>
      <c r="K10" s="53">
        <v>2</v>
      </c>
      <c r="N10" s="61"/>
      <c r="Q10" s="61"/>
      <c r="S10" s="61"/>
    </row>
    <row r="11" spans="1:19" x14ac:dyDescent="0.25">
      <c r="A11" s="53">
        <v>3</v>
      </c>
      <c r="B11" s="40" t="s">
        <v>62</v>
      </c>
      <c r="C11" s="53" t="s">
        <v>336</v>
      </c>
      <c r="D11" s="63" t="s">
        <v>390</v>
      </c>
      <c r="E11" s="63" t="s">
        <v>391</v>
      </c>
      <c r="F11" s="63" t="s">
        <v>392</v>
      </c>
      <c r="G11" s="63" t="s">
        <v>461</v>
      </c>
      <c r="H11" s="63" t="s">
        <v>462</v>
      </c>
      <c r="I11" s="63" t="s">
        <v>393</v>
      </c>
      <c r="J11" s="57">
        <v>5.2685185185185189E-2</v>
      </c>
      <c r="K11" s="53">
        <v>3</v>
      </c>
      <c r="N11" s="61"/>
      <c r="O11" s="61"/>
      <c r="P11" s="61"/>
      <c r="Q11" s="61"/>
      <c r="S11" s="61"/>
    </row>
    <row r="12" spans="1:19" x14ac:dyDescent="0.25">
      <c r="A12" s="53">
        <v>4</v>
      </c>
      <c r="B12" s="40" t="s">
        <v>79</v>
      </c>
      <c r="C12" s="53">
        <v>53</v>
      </c>
      <c r="D12" s="63" t="s">
        <v>463</v>
      </c>
      <c r="E12" s="63" t="s">
        <v>464</v>
      </c>
      <c r="F12" s="63" t="s">
        <v>465</v>
      </c>
      <c r="G12" s="63" t="s">
        <v>466</v>
      </c>
      <c r="H12" s="63" t="s">
        <v>456</v>
      </c>
      <c r="I12" s="63" t="s">
        <v>394</v>
      </c>
      <c r="J12" s="57">
        <v>5.334490740740741E-2</v>
      </c>
      <c r="K12" s="53">
        <v>4</v>
      </c>
      <c r="P12" s="62"/>
      <c r="Q12" s="61"/>
      <c r="S12" s="61"/>
    </row>
    <row r="13" spans="1:19" x14ac:dyDescent="0.25">
      <c r="A13" s="53">
        <v>5</v>
      </c>
      <c r="B13" s="40" t="s">
        <v>342</v>
      </c>
      <c r="C13" s="53">
        <v>65</v>
      </c>
      <c r="D13" s="63" t="s">
        <v>467</v>
      </c>
      <c r="E13" s="64" t="s">
        <v>468</v>
      </c>
      <c r="F13" s="63" t="s">
        <v>395</v>
      </c>
      <c r="G13" s="63" t="s">
        <v>469</v>
      </c>
      <c r="H13" s="63" t="s">
        <v>396</v>
      </c>
      <c r="I13" s="63" t="s">
        <v>397</v>
      </c>
      <c r="J13" s="57">
        <v>5.5081018518518515E-2</v>
      </c>
      <c r="K13" s="53">
        <v>5</v>
      </c>
      <c r="P13" s="61"/>
      <c r="Q13" s="61"/>
      <c r="R13" s="61"/>
      <c r="S13" s="61"/>
    </row>
    <row r="14" spans="1:19" x14ac:dyDescent="0.25">
      <c r="A14" s="53">
        <v>6</v>
      </c>
      <c r="B14" s="40" t="s">
        <v>345</v>
      </c>
      <c r="C14" s="53">
        <v>72</v>
      </c>
      <c r="D14" s="63" t="s">
        <v>398</v>
      </c>
      <c r="E14" s="63" t="s">
        <v>401</v>
      </c>
      <c r="F14" s="63" t="s">
        <v>470</v>
      </c>
      <c r="G14" s="64" t="s">
        <v>399</v>
      </c>
      <c r="H14" s="63" t="s">
        <v>400</v>
      </c>
      <c r="I14" s="63" t="s">
        <v>403</v>
      </c>
      <c r="J14" s="57">
        <v>5.5196759259259265E-2</v>
      </c>
      <c r="K14" s="53">
        <v>6</v>
      </c>
      <c r="N14" s="61"/>
      <c r="P14" s="62"/>
      <c r="Q14" s="61"/>
      <c r="R14" s="61"/>
    </row>
    <row r="15" spans="1:19" x14ac:dyDescent="0.25">
      <c r="A15" s="53">
        <v>7</v>
      </c>
      <c r="B15" s="40" t="s">
        <v>61</v>
      </c>
      <c r="C15" s="53" t="s">
        <v>337</v>
      </c>
      <c r="D15" s="63" t="s">
        <v>398</v>
      </c>
      <c r="E15" s="63" t="s">
        <v>401</v>
      </c>
      <c r="F15" s="63" t="s">
        <v>470</v>
      </c>
      <c r="G15" s="63" t="s">
        <v>471</v>
      </c>
      <c r="H15" s="64" t="s">
        <v>402</v>
      </c>
      <c r="I15" s="63" t="s">
        <v>403</v>
      </c>
      <c r="J15" s="57">
        <v>5.5312499999999994E-2</v>
      </c>
      <c r="K15" s="53">
        <v>7</v>
      </c>
      <c r="N15" s="61"/>
      <c r="O15" s="61"/>
      <c r="P15" s="62"/>
      <c r="Q15" s="61"/>
      <c r="R15" s="61"/>
      <c r="S15" s="61"/>
    </row>
    <row r="16" spans="1:19" x14ac:dyDescent="0.25">
      <c r="A16" s="53">
        <v>8</v>
      </c>
      <c r="B16" s="40" t="s">
        <v>344</v>
      </c>
      <c r="C16" s="53" t="s">
        <v>315</v>
      </c>
      <c r="D16" s="63" t="s">
        <v>404</v>
      </c>
      <c r="E16" s="63" t="s">
        <v>472</v>
      </c>
      <c r="F16" s="63" t="s">
        <v>405</v>
      </c>
      <c r="G16" s="63" t="s">
        <v>473</v>
      </c>
      <c r="H16" s="63" t="s">
        <v>406</v>
      </c>
      <c r="I16" s="63" t="s">
        <v>397</v>
      </c>
      <c r="J16" s="57">
        <v>5.6990740740740738E-2</v>
      </c>
      <c r="K16" s="53">
        <v>8</v>
      </c>
      <c r="N16" s="61"/>
      <c r="P16" s="61"/>
      <c r="Q16" s="61"/>
      <c r="R16" s="61"/>
      <c r="S16" s="61"/>
    </row>
    <row r="17" spans="1:19" x14ac:dyDescent="0.25">
      <c r="A17" s="53">
        <v>9</v>
      </c>
      <c r="B17" s="40" t="s">
        <v>73</v>
      </c>
      <c r="C17" s="53">
        <v>64</v>
      </c>
      <c r="D17" s="63" t="s">
        <v>407</v>
      </c>
      <c r="E17" s="63" t="s">
        <v>408</v>
      </c>
      <c r="F17" s="63" t="s">
        <v>409</v>
      </c>
      <c r="G17" s="63" t="s">
        <v>474</v>
      </c>
      <c r="H17" s="63" t="s">
        <v>410</v>
      </c>
      <c r="I17" s="63" t="s">
        <v>475</v>
      </c>
      <c r="J17" s="57">
        <v>5.7048611111111112E-2</v>
      </c>
      <c r="K17" s="53">
        <v>9</v>
      </c>
      <c r="N17" s="61"/>
      <c r="O17" s="61"/>
      <c r="P17" s="61"/>
      <c r="Q17" s="61"/>
      <c r="R17" s="61"/>
    </row>
    <row r="18" spans="1:19" x14ac:dyDescent="0.25">
      <c r="A18" s="53">
        <v>10</v>
      </c>
      <c r="B18" s="40" t="s">
        <v>74</v>
      </c>
      <c r="C18" s="53" t="s">
        <v>330</v>
      </c>
      <c r="D18" s="63" t="s">
        <v>411</v>
      </c>
      <c r="E18" s="63" t="s">
        <v>412</v>
      </c>
      <c r="F18" s="63" t="s">
        <v>476</v>
      </c>
      <c r="G18" s="63" t="s">
        <v>413</v>
      </c>
      <c r="H18" s="63" t="s">
        <v>414</v>
      </c>
      <c r="I18" s="63" t="s">
        <v>415</v>
      </c>
      <c r="J18" s="57">
        <v>5.7777777777777782E-2</v>
      </c>
      <c r="K18" s="53">
        <v>10</v>
      </c>
      <c r="N18" s="61"/>
      <c r="O18" s="61"/>
      <c r="P18" s="62"/>
      <c r="Q18" s="61"/>
      <c r="R18" s="61"/>
      <c r="S18" s="61"/>
    </row>
    <row r="19" spans="1:19" x14ac:dyDescent="0.25">
      <c r="A19" s="53">
        <v>11</v>
      </c>
      <c r="B19" s="40" t="s">
        <v>42</v>
      </c>
      <c r="C19" s="53">
        <v>55</v>
      </c>
      <c r="D19" s="63" t="s">
        <v>416</v>
      </c>
      <c r="E19" s="63" t="s">
        <v>477</v>
      </c>
      <c r="F19" s="64" t="s">
        <v>417</v>
      </c>
      <c r="G19" s="63" t="s">
        <v>478</v>
      </c>
      <c r="H19" s="63" t="s">
        <v>419</v>
      </c>
      <c r="I19" s="63" t="s">
        <v>397</v>
      </c>
      <c r="J19" s="57">
        <v>5.8414351851851849E-2</v>
      </c>
      <c r="K19" s="53">
        <v>11</v>
      </c>
      <c r="N19" s="61"/>
      <c r="P19" s="61"/>
      <c r="Q19" s="61"/>
      <c r="R19" s="61"/>
      <c r="S19" s="61"/>
    </row>
    <row r="20" spans="1:19" x14ac:dyDescent="0.25">
      <c r="A20" s="53">
        <v>12</v>
      </c>
      <c r="B20" s="40" t="s">
        <v>53</v>
      </c>
      <c r="C20" s="53" t="s">
        <v>5</v>
      </c>
      <c r="D20" s="63" t="s">
        <v>418</v>
      </c>
      <c r="E20" s="63" t="s">
        <v>479</v>
      </c>
      <c r="F20" s="63" t="s">
        <v>420</v>
      </c>
      <c r="G20" s="63" t="s">
        <v>480</v>
      </c>
      <c r="H20" s="63" t="s">
        <v>421</v>
      </c>
      <c r="I20" s="63" t="s">
        <v>397</v>
      </c>
      <c r="J20" s="57">
        <v>5.8912037037037034E-2</v>
      </c>
      <c r="K20" s="53">
        <v>12</v>
      </c>
      <c r="N20" s="61"/>
      <c r="P20" s="61"/>
      <c r="Q20" s="61"/>
      <c r="R20" s="61"/>
    </row>
    <row r="21" spans="1:19" x14ac:dyDescent="0.25">
      <c r="A21" s="53">
        <v>13</v>
      </c>
      <c r="B21" s="40" t="s">
        <v>43</v>
      </c>
      <c r="C21" s="53" t="s">
        <v>356</v>
      </c>
      <c r="D21" s="63" t="s">
        <v>422</v>
      </c>
      <c r="E21" s="63" t="s">
        <v>423</v>
      </c>
      <c r="F21" s="63" t="s">
        <v>483</v>
      </c>
      <c r="G21" s="63" t="s">
        <v>424</v>
      </c>
      <c r="H21" s="63" t="s">
        <v>425</v>
      </c>
      <c r="I21" s="63" t="s">
        <v>397</v>
      </c>
      <c r="J21" s="57">
        <v>6.011574074074074E-2</v>
      </c>
      <c r="K21" s="53">
        <v>13</v>
      </c>
      <c r="N21" s="61"/>
      <c r="O21" s="61"/>
      <c r="P21" s="62"/>
      <c r="Q21" s="61"/>
      <c r="R21" s="61"/>
      <c r="S21" s="61"/>
    </row>
    <row r="22" spans="1:19" x14ac:dyDescent="0.25">
      <c r="A22" s="53">
        <v>14</v>
      </c>
      <c r="B22" s="40" t="s">
        <v>52</v>
      </c>
      <c r="C22" s="53" t="s">
        <v>16</v>
      </c>
      <c r="D22" s="64" t="s">
        <v>484</v>
      </c>
      <c r="E22" s="63" t="s">
        <v>485</v>
      </c>
      <c r="F22" s="63" t="s">
        <v>486</v>
      </c>
      <c r="G22" s="63" t="s">
        <v>487</v>
      </c>
      <c r="H22" s="63" t="s">
        <v>427</v>
      </c>
      <c r="I22" s="64" t="s">
        <v>428</v>
      </c>
      <c r="J22" s="57">
        <v>6.1550925925925926E-2</v>
      </c>
      <c r="K22" s="53">
        <v>14</v>
      </c>
      <c r="P22" s="62"/>
      <c r="Q22" s="61"/>
      <c r="R22" s="61"/>
      <c r="S22" s="61"/>
    </row>
    <row r="23" spans="1:19" x14ac:dyDescent="0.25">
      <c r="A23" s="53">
        <v>15</v>
      </c>
      <c r="B23" s="40" t="s">
        <v>18</v>
      </c>
      <c r="C23" s="53" t="s">
        <v>328</v>
      </c>
      <c r="D23" s="63" t="s">
        <v>429</v>
      </c>
      <c r="E23" s="63" t="s">
        <v>430</v>
      </c>
      <c r="F23" s="63" t="s">
        <v>488</v>
      </c>
      <c r="G23" s="63" t="s">
        <v>489</v>
      </c>
      <c r="H23" s="63" t="s">
        <v>431</v>
      </c>
      <c r="I23" s="63" t="s">
        <v>389</v>
      </c>
      <c r="J23" s="57">
        <v>6.3055555555555545E-2</v>
      </c>
      <c r="K23" s="53">
        <v>15</v>
      </c>
      <c r="N23" s="61"/>
      <c r="O23" s="61"/>
      <c r="P23" s="62"/>
      <c r="Q23" s="61"/>
      <c r="R23" s="61"/>
      <c r="S23" s="61"/>
    </row>
    <row r="24" spans="1:19" x14ac:dyDescent="0.25">
      <c r="A24" s="53">
        <v>16</v>
      </c>
      <c r="B24" s="40" t="s">
        <v>360</v>
      </c>
      <c r="C24" s="53" t="s">
        <v>232</v>
      </c>
      <c r="D24" s="63" t="s">
        <v>404</v>
      </c>
      <c r="E24" s="63" t="s">
        <v>432</v>
      </c>
      <c r="F24" s="63" t="s">
        <v>433</v>
      </c>
      <c r="G24" s="63" t="s">
        <v>490</v>
      </c>
      <c r="H24" s="63" t="s">
        <v>434</v>
      </c>
      <c r="I24" s="63" t="s">
        <v>491</v>
      </c>
      <c r="J24" s="57">
        <v>6.4560185185185193E-2</v>
      </c>
      <c r="K24" s="53">
        <v>16</v>
      </c>
      <c r="N24" s="61"/>
      <c r="O24" s="61"/>
      <c r="P24" s="61"/>
      <c r="Q24" s="61"/>
      <c r="R24" s="61"/>
    </row>
    <row r="25" spans="1:19" x14ac:dyDescent="0.25">
      <c r="A25" s="53">
        <v>17</v>
      </c>
      <c r="B25" s="40" t="s">
        <v>340</v>
      </c>
      <c r="C25" s="53" t="s">
        <v>9</v>
      </c>
      <c r="D25" s="63" t="s">
        <v>404</v>
      </c>
      <c r="E25" s="63" t="s">
        <v>435</v>
      </c>
      <c r="F25" s="63" t="s">
        <v>492</v>
      </c>
      <c r="G25" s="63" t="s">
        <v>493</v>
      </c>
      <c r="H25" s="63" t="s">
        <v>436</v>
      </c>
      <c r="I25" s="64" t="s">
        <v>428</v>
      </c>
      <c r="J25" s="57">
        <v>6.7835648148148145E-2</v>
      </c>
      <c r="K25" s="53">
        <v>17</v>
      </c>
      <c r="N25" s="61"/>
      <c r="O25" s="61"/>
      <c r="P25" s="62"/>
      <c r="Q25" s="61"/>
      <c r="R25" s="61"/>
      <c r="S25" s="61"/>
    </row>
    <row r="26" spans="1:19" x14ac:dyDescent="0.25">
      <c r="A26" s="53">
        <v>18</v>
      </c>
      <c r="B26" s="40" t="s">
        <v>81</v>
      </c>
      <c r="C26" s="53" t="s">
        <v>326</v>
      </c>
      <c r="D26" s="63" t="s">
        <v>426</v>
      </c>
      <c r="E26" s="63" t="s">
        <v>437</v>
      </c>
      <c r="F26" s="63" t="s">
        <v>494</v>
      </c>
      <c r="G26" s="63" t="s">
        <v>474</v>
      </c>
      <c r="H26" s="63" t="s">
        <v>438</v>
      </c>
      <c r="I26" s="63" t="s">
        <v>397</v>
      </c>
      <c r="J26" s="57">
        <v>6.9780092592592588E-2</v>
      </c>
      <c r="K26" s="53">
        <v>18</v>
      </c>
      <c r="N26" s="61"/>
      <c r="O26" s="61"/>
      <c r="P26" s="62"/>
      <c r="Q26" s="61"/>
      <c r="R26" s="61"/>
      <c r="S26" s="61"/>
    </row>
    <row r="27" spans="1:19" x14ac:dyDescent="0.25">
      <c r="A27" s="53">
        <v>19</v>
      </c>
      <c r="B27" s="40" t="s">
        <v>55</v>
      </c>
      <c r="C27" s="53" t="s">
        <v>4</v>
      </c>
      <c r="D27" s="63" t="s">
        <v>439</v>
      </c>
      <c r="E27" s="63" t="s">
        <v>495</v>
      </c>
      <c r="F27" s="63" t="s">
        <v>496</v>
      </c>
      <c r="G27" s="63" t="s">
        <v>497</v>
      </c>
      <c r="H27" s="63" t="s">
        <v>440</v>
      </c>
      <c r="I27" s="63" t="s">
        <v>397</v>
      </c>
      <c r="J27" s="57">
        <v>7.0833333333333331E-2</v>
      </c>
      <c r="K27" s="53">
        <v>19</v>
      </c>
      <c r="N27" s="61"/>
      <c r="P27" s="62"/>
      <c r="Q27" s="61"/>
      <c r="R27" s="61"/>
      <c r="S27" s="61"/>
    </row>
    <row r="28" spans="1:19" x14ac:dyDescent="0.25">
      <c r="A28" s="53">
        <v>20</v>
      </c>
      <c r="B28" s="40" t="s">
        <v>100</v>
      </c>
      <c r="C28" s="53" t="s">
        <v>317</v>
      </c>
      <c r="D28" s="63" t="s">
        <v>441</v>
      </c>
      <c r="E28" s="63" t="s">
        <v>498</v>
      </c>
      <c r="F28" s="63" t="s">
        <v>499</v>
      </c>
      <c r="G28" s="63" t="s">
        <v>500</v>
      </c>
      <c r="H28" s="63" t="s">
        <v>442</v>
      </c>
      <c r="I28" s="63" t="s">
        <v>397</v>
      </c>
      <c r="J28" s="57">
        <v>7.2094907407407413E-2</v>
      </c>
      <c r="K28" s="53">
        <v>20</v>
      </c>
      <c r="N28" s="61"/>
      <c r="Q28" s="61"/>
      <c r="R28" s="61"/>
      <c r="S28" s="61"/>
    </row>
    <row r="29" spans="1:19" x14ac:dyDescent="0.25">
      <c r="A29" s="53">
        <v>21</v>
      </c>
      <c r="B29" s="40" t="s">
        <v>99</v>
      </c>
      <c r="C29" s="53" t="s">
        <v>320</v>
      </c>
      <c r="D29" s="63" t="s">
        <v>443</v>
      </c>
      <c r="E29" s="63" t="s">
        <v>444</v>
      </c>
      <c r="F29" s="63" t="s">
        <v>445</v>
      </c>
      <c r="G29" s="63" t="s">
        <v>501</v>
      </c>
      <c r="H29" s="63" t="s">
        <v>446</v>
      </c>
      <c r="I29" s="63" t="s">
        <v>397</v>
      </c>
      <c r="J29" s="57">
        <v>7.2187500000000002E-2</v>
      </c>
      <c r="K29" s="53">
        <v>21</v>
      </c>
      <c r="N29" s="61"/>
      <c r="O29" s="61"/>
      <c r="P29" s="61"/>
      <c r="R29" s="61"/>
      <c r="S29" s="61"/>
    </row>
    <row r="30" spans="1:19" x14ac:dyDescent="0.25">
      <c r="A30" s="53">
        <v>22</v>
      </c>
      <c r="B30" s="40" t="s">
        <v>80</v>
      </c>
      <c r="C30" s="53" t="s">
        <v>14</v>
      </c>
      <c r="D30" s="63" t="s">
        <v>447</v>
      </c>
      <c r="E30" s="68" t="s">
        <v>379</v>
      </c>
      <c r="F30" s="63" t="s">
        <v>448</v>
      </c>
      <c r="G30" s="63" t="s">
        <v>502</v>
      </c>
      <c r="H30" s="63" t="s">
        <v>398</v>
      </c>
      <c r="I30" s="63" t="s">
        <v>449</v>
      </c>
      <c r="J30" s="57">
        <v>7.2708333333333333E-2</v>
      </c>
      <c r="K30" s="53">
        <v>22</v>
      </c>
      <c r="N30" s="61"/>
      <c r="P30" s="61"/>
      <c r="Q30" s="61"/>
      <c r="R30" s="61"/>
      <c r="S30" s="61"/>
    </row>
    <row r="31" spans="1:19" x14ac:dyDescent="0.25">
      <c r="A31" s="53">
        <v>23</v>
      </c>
      <c r="B31" s="40" t="s">
        <v>67</v>
      </c>
      <c r="C31" s="53" t="s">
        <v>329</v>
      </c>
      <c r="D31" s="63" t="s">
        <v>450</v>
      </c>
      <c r="E31" s="68" t="s">
        <v>380</v>
      </c>
      <c r="F31" s="63" t="s">
        <v>503</v>
      </c>
      <c r="G31" s="63" t="s">
        <v>504</v>
      </c>
      <c r="H31" s="63" t="s">
        <v>451</v>
      </c>
      <c r="I31" s="63" t="s">
        <v>397</v>
      </c>
      <c r="J31" s="57">
        <v>7.4143518518518511E-2</v>
      </c>
      <c r="K31" s="53">
        <v>23</v>
      </c>
      <c r="N31" s="61"/>
      <c r="P31" s="62"/>
      <c r="Q31" s="61"/>
      <c r="R31" s="61"/>
      <c r="S31" s="61"/>
    </row>
    <row r="32" spans="1:19" x14ac:dyDescent="0.25">
      <c r="A32" s="53">
        <v>24</v>
      </c>
      <c r="B32" s="40" t="s">
        <v>78</v>
      </c>
      <c r="C32" s="53">
        <v>61</v>
      </c>
      <c r="D32" s="63" t="s">
        <v>452</v>
      </c>
      <c r="E32" s="63" t="s">
        <v>453</v>
      </c>
      <c r="F32" s="63" t="s">
        <v>505</v>
      </c>
      <c r="G32" s="63" t="s">
        <v>506</v>
      </c>
      <c r="H32" s="68" t="s">
        <v>381</v>
      </c>
      <c r="I32" s="63" t="s">
        <v>394</v>
      </c>
      <c r="J32" s="57">
        <v>7.4756944444444445E-2</v>
      </c>
      <c r="K32" s="53">
        <v>24</v>
      </c>
      <c r="N32" s="61"/>
      <c r="O32" s="61"/>
      <c r="P32" s="62"/>
      <c r="Q32" s="61"/>
      <c r="S32" s="61"/>
    </row>
    <row r="33" spans="1:19" x14ac:dyDescent="0.25">
      <c r="A33" s="53">
        <v>25</v>
      </c>
      <c r="B33" s="40" t="s">
        <v>84</v>
      </c>
      <c r="C33" s="53">
        <v>66</v>
      </c>
      <c r="D33" s="63" t="s">
        <v>390</v>
      </c>
      <c r="E33" s="63" t="s">
        <v>507</v>
      </c>
      <c r="F33" s="63" t="s">
        <v>508</v>
      </c>
      <c r="G33" s="63" t="s">
        <v>509</v>
      </c>
      <c r="H33" s="63" t="s">
        <v>454</v>
      </c>
      <c r="I33" s="63" t="s">
        <v>397</v>
      </c>
      <c r="J33" s="57">
        <v>8.7175925925925934E-2</v>
      </c>
      <c r="K33" s="53">
        <v>25</v>
      </c>
      <c r="N33" s="61"/>
      <c r="P33" s="62"/>
      <c r="Q33" s="61"/>
      <c r="R33" s="61"/>
      <c r="S33" s="61"/>
    </row>
    <row r="34" spans="1:19" x14ac:dyDescent="0.25">
      <c r="A34" s="53">
        <v>26</v>
      </c>
      <c r="B34" s="40" t="s">
        <v>66</v>
      </c>
      <c r="C34" s="53">
        <v>56</v>
      </c>
      <c r="D34" s="63" t="s">
        <v>455</v>
      </c>
      <c r="E34" s="63" t="s">
        <v>510</v>
      </c>
      <c r="F34" s="63" t="s">
        <v>499</v>
      </c>
      <c r="G34" s="63" t="s">
        <v>511</v>
      </c>
      <c r="H34" s="63" t="s">
        <v>386</v>
      </c>
      <c r="I34" s="63" t="s">
        <v>397</v>
      </c>
      <c r="J34" s="57">
        <v>9.5509259259259252E-2</v>
      </c>
      <c r="K34" s="53">
        <v>26</v>
      </c>
      <c r="N34" s="61"/>
      <c r="P34" s="62"/>
      <c r="Q34" s="61"/>
      <c r="R34" s="61"/>
      <c r="S34" s="61"/>
    </row>
    <row r="35" spans="1:19" x14ac:dyDescent="0.25">
      <c r="A35" s="53">
        <v>27</v>
      </c>
      <c r="B35" s="40" t="s">
        <v>101</v>
      </c>
      <c r="C35" s="53">
        <v>77</v>
      </c>
      <c r="D35" s="67">
        <v>0.875</v>
      </c>
      <c r="E35" s="50" t="s">
        <v>512</v>
      </c>
      <c r="F35" s="53"/>
      <c r="G35" s="53"/>
      <c r="H35" s="53"/>
      <c r="I35" s="53"/>
      <c r="J35" s="53"/>
      <c r="K35" s="53"/>
    </row>
    <row r="36" spans="1:19" x14ac:dyDescent="0.25">
      <c r="A36" s="53">
        <v>28</v>
      </c>
      <c r="B36" s="40" t="s">
        <v>346</v>
      </c>
      <c r="C36" s="53">
        <v>74</v>
      </c>
      <c r="D36" s="67">
        <v>0.72916666666666663</v>
      </c>
      <c r="E36" s="67">
        <v>0.27083333333333331</v>
      </c>
      <c r="F36" s="53" t="s">
        <v>264</v>
      </c>
      <c r="G36" s="53"/>
      <c r="H36" s="53"/>
      <c r="I36" s="53"/>
      <c r="J36" s="53"/>
      <c r="K36" s="53"/>
    </row>
    <row r="39" spans="1:19" x14ac:dyDescent="0.25">
      <c r="B39" s="1" t="s">
        <v>481</v>
      </c>
    </row>
    <row r="40" spans="1:19" x14ac:dyDescent="0.25">
      <c r="B40" s="1" t="s">
        <v>482</v>
      </c>
    </row>
  </sheetData>
  <mergeCells count="7">
    <mergeCell ref="K6:K7"/>
    <mergeCell ref="A8:C8"/>
    <mergeCell ref="D6:I6"/>
    <mergeCell ref="A6:A7"/>
    <mergeCell ref="B6:B7"/>
    <mergeCell ref="C6:C7"/>
    <mergeCell ref="J6:J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tabSelected="1" workbookViewId="0">
      <selection activeCell="Q28" sqref="Q28:Q35"/>
    </sheetView>
  </sheetViews>
  <sheetFormatPr defaultRowHeight="13.2" x14ac:dyDescent="0.25"/>
  <cols>
    <col min="1" max="1" width="6.44140625" style="1" customWidth="1"/>
    <col min="2" max="2" width="26" style="1" customWidth="1"/>
    <col min="3" max="3" width="12" style="2" customWidth="1"/>
    <col min="4" max="14" width="8.6640625" style="2" customWidth="1"/>
    <col min="15" max="15" width="11.6640625" style="2" customWidth="1"/>
    <col min="16" max="16" width="8.88671875" style="2"/>
    <col min="17" max="17" width="11" style="1" customWidth="1"/>
    <col min="18" max="16384" width="8.88671875" style="1"/>
  </cols>
  <sheetData>
    <row r="1" spans="1:24" x14ac:dyDescent="0.25">
      <c r="A1" s="1" t="s">
        <v>364</v>
      </c>
    </row>
    <row r="2" spans="1:24" x14ac:dyDescent="0.25">
      <c r="A2" s="1" t="s">
        <v>220</v>
      </c>
    </row>
    <row r="3" spans="1:24" x14ac:dyDescent="0.25">
      <c r="A3" s="1" t="s">
        <v>365</v>
      </c>
    </row>
    <row r="4" spans="1:24" x14ac:dyDescent="0.25">
      <c r="A4" s="1" t="s">
        <v>513</v>
      </c>
    </row>
    <row r="6" spans="1:24" ht="18" customHeight="1" x14ac:dyDescent="0.25">
      <c r="A6" s="54" t="s">
        <v>29</v>
      </c>
      <c r="B6" s="54" t="s">
        <v>374</v>
      </c>
      <c r="C6" s="54" t="s">
        <v>32</v>
      </c>
      <c r="D6" s="54" t="s">
        <v>375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9" t="s">
        <v>378</v>
      </c>
      <c r="P6" s="59" t="s">
        <v>36</v>
      </c>
    </row>
    <row r="7" spans="1:24" ht="22.2" customHeight="1" x14ac:dyDescent="0.25">
      <c r="A7" s="54"/>
      <c r="B7" s="54"/>
      <c r="C7" s="54"/>
      <c r="D7" s="52" t="s">
        <v>376</v>
      </c>
      <c r="E7" s="60" t="s">
        <v>366</v>
      </c>
      <c r="F7" s="60" t="s">
        <v>515</v>
      </c>
      <c r="G7" s="60" t="s">
        <v>516</v>
      </c>
      <c r="H7" s="60" t="s">
        <v>517</v>
      </c>
      <c r="I7" s="60" t="s">
        <v>518</v>
      </c>
      <c r="J7" s="60" t="s">
        <v>520</v>
      </c>
      <c r="K7" s="60" t="s">
        <v>519</v>
      </c>
      <c r="L7" s="60" t="s">
        <v>521</v>
      </c>
      <c r="M7" s="60" t="s">
        <v>522</v>
      </c>
      <c r="N7" s="60" t="s">
        <v>523</v>
      </c>
      <c r="O7" s="59"/>
      <c r="P7" s="59"/>
    </row>
    <row r="8" spans="1:24" ht="19.2" customHeight="1" x14ac:dyDescent="0.25">
      <c r="A8" s="65"/>
      <c r="B8" s="65"/>
      <c r="C8" s="65"/>
      <c r="D8" s="66">
        <v>1820</v>
      </c>
      <c r="E8" s="66">
        <v>750</v>
      </c>
      <c r="F8" s="66">
        <v>1410</v>
      </c>
      <c r="G8" s="66">
        <v>570</v>
      </c>
      <c r="H8" s="66">
        <v>2500</v>
      </c>
      <c r="I8" s="66">
        <v>400</v>
      </c>
      <c r="J8" s="66">
        <v>410</v>
      </c>
      <c r="K8" s="66">
        <v>870</v>
      </c>
      <c r="L8" s="66">
        <v>1250</v>
      </c>
      <c r="M8" s="66">
        <v>2520</v>
      </c>
      <c r="N8" s="66" t="s">
        <v>373</v>
      </c>
      <c r="O8" s="66">
        <v>7400</v>
      </c>
      <c r="P8" s="53"/>
    </row>
    <row r="9" spans="1:24" x14ac:dyDescent="0.25">
      <c r="A9" s="53">
        <v>1</v>
      </c>
      <c r="B9" s="40" t="s">
        <v>138</v>
      </c>
      <c r="C9" s="39">
        <v>9</v>
      </c>
      <c r="D9" s="69">
        <v>8.5069444444444437E-3</v>
      </c>
      <c r="E9" s="69">
        <v>6.076388888888889E-3</v>
      </c>
      <c r="F9" s="69">
        <v>5.9143518518518521E-3</v>
      </c>
      <c r="G9" s="69">
        <v>3.6574074074074074E-3</v>
      </c>
      <c r="H9" s="69">
        <v>1.4907407407407406E-2</v>
      </c>
      <c r="I9" s="69">
        <v>2.0833333333333333E-3</v>
      </c>
      <c r="J9" s="69">
        <v>2.488425925925926E-3</v>
      </c>
      <c r="K9" s="69">
        <v>4.340277777777778E-3</v>
      </c>
      <c r="L9" s="69">
        <v>5.3240740740740748E-3</v>
      </c>
      <c r="M9" s="69">
        <v>1.2499999999999999E-2</v>
      </c>
      <c r="N9" s="69">
        <v>5.3240740740740744E-4</v>
      </c>
      <c r="O9" s="41">
        <v>6.6331018518518511E-2</v>
      </c>
      <c r="P9" s="53">
        <v>1</v>
      </c>
      <c r="Q9" s="71"/>
      <c r="S9" s="61"/>
      <c r="T9" s="61"/>
      <c r="U9" s="61"/>
      <c r="V9" s="62"/>
      <c r="W9" s="61"/>
      <c r="X9" s="61"/>
    </row>
    <row r="10" spans="1:24" x14ac:dyDescent="0.25">
      <c r="A10" s="53">
        <v>2</v>
      </c>
      <c r="B10" s="43" t="s">
        <v>191</v>
      </c>
      <c r="C10" s="39">
        <v>22</v>
      </c>
      <c r="D10" s="69">
        <v>8.7962962962962968E-3</v>
      </c>
      <c r="E10" s="69">
        <v>5.5555555555555558E-3</v>
      </c>
      <c r="F10" s="69">
        <v>5.9953703703703697E-3</v>
      </c>
      <c r="G10" s="69">
        <v>2.6388888888888885E-3</v>
      </c>
      <c r="H10" s="69">
        <v>1.3703703703703704E-2</v>
      </c>
      <c r="I10" s="69">
        <v>2.2337962962962967E-3</v>
      </c>
      <c r="J10" s="69">
        <v>3.2986111111111111E-3</v>
      </c>
      <c r="K10" s="69">
        <v>4.386574074074074E-3</v>
      </c>
      <c r="L10" s="69">
        <v>5.8564814814814825E-3</v>
      </c>
      <c r="M10" s="69">
        <v>1.3703703703703704E-2</v>
      </c>
      <c r="N10" s="69">
        <v>5.7870370370370378E-4</v>
      </c>
      <c r="O10" s="41">
        <v>6.6747685185185188E-2</v>
      </c>
      <c r="P10" s="53">
        <v>2</v>
      </c>
      <c r="Q10" s="71"/>
      <c r="S10" s="61"/>
      <c r="V10" s="61"/>
      <c r="X10" s="61"/>
    </row>
    <row r="11" spans="1:24" x14ac:dyDescent="0.25">
      <c r="A11" s="53">
        <v>3</v>
      </c>
      <c r="B11" s="40" t="s">
        <v>171</v>
      </c>
      <c r="C11" s="39">
        <v>24</v>
      </c>
      <c r="D11" s="69">
        <v>9.0277777777777787E-3</v>
      </c>
      <c r="E11" s="69">
        <v>6.0185185185185177E-3</v>
      </c>
      <c r="F11" s="69">
        <v>6.4699074074074069E-3</v>
      </c>
      <c r="G11" s="69">
        <v>2.5115740740740741E-3</v>
      </c>
      <c r="H11" s="69">
        <v>1.4166666666666666E-2</v>
      </c>
      <c r="I11" s="69">
        <v>1.8518518518518517E-3</v>
      </c>
      <c r="J11" s="69">
        <v>2.5462962962962961E-3</v>
      </c>
      <c r="K11" s="69">
        <v>4.5138888888888893E-3</v>
      </c>
      <c r="L11" s="69">
        <v>6.4236111111111117E-3</v>
      </c>
      <c r="M11" s="69">
        <v>1.2002314814814815E-2</v>
      </c>
      <c r="N11" s="69">
        <v>5.2083333333333333E-4</v>
      </c>
      <c r="O11" s="41">
        <v>6.7210648148148144E-2</v>
      </c>
      <c r="P11" s="53">
        <v>3</v>
      </c>
      <c r="Q11" s="71"/>
      <c r="S11" s="61"/>
      <c r="T11" s="61"/>
      <c r="U11" s="61"/>
      <c r="V11" s="61"/>
      <c r="X11" s="61"/>
    </row>
    <row r="12" spans="1:24" x14ac:dyDescent="0.25">
      <c r="A12" s="53">
        <v>4</v>
      </c>
      <c r="B12" s="40" t="s">
        <v>137</v>
      </c>
      <c r="C12" s="39">
        <v>19</v>
      </c>
      <c r="D12" s="69">
        <v>8.5069444444444437E-3</v>
      </c>
      <c r="E12" s="69">
        <v>5.7291666666666671E-3</v>
      </c>
      <c r="F12" s="69">
        <v>7.037037037037037E-3</v>
      </c>
      <c r="G12" s="69">
        <v>3.2175925925925926E-3</v>
      </c>
      <c r="H12" s="69">
        <v>1.5092592592592593E-2</v>
      </c>
      <c r="I12" s="69">
        <v>1.736111111111111E-3</v>
      </c>
      <c r="J12" s="69">
        <v>2.1527777777777778E-3</v>
      </c>
      <c r="K12" s="69">
        <v>4.2476851851851851E-3</v>
      </c>
      <c r="L12" s="69">
        <v>6.1574074074074074E-3</v>
      </c>
      <c r="M12" s="69">
        <v>1.3229166666666667E-2</v>
      </c>
      <c r="N12" s="69">
        <v>5.0925925925925921E-4</v>
      </c>
      <c r="O12" s="41">
        <v>6.761574074074074E-2</v>
      </c>
      <c r="P12" s="53">
        <v>4</v>
      </c>
      <c r="Q12" s="71"/>
      <c r="U12" s="62"/>
      <c r="V12" s="61"/>
      <c r="X12" s="61"/>
    </row>
    <row r="13" spans="1:24" x14ac:dyDescent="0.25">
      <c r="A13" s="53">
        <v>5</v>
      </c>
      <c r="B13" s="43" t="s">
        <v>123</v>
      </c>
      <c r="C13" s="39">
        <v>4</v>
      </c>
      <c r="D13" s="69">
        <v>9.3055555555555548E-3</v>
      </c>
      <c r="E13" s="69">
        <v>4.9305555555555552E-3</v>
      </c>
      <c r="F13" s="69">
        <v>5.9722222222222225E-3</v>
      </c>
      <c r="G13" s="69">
        <v>3.0671296296296297E-3</v>
      </c>
      <c r="H13" s="69">
        <v>1.5277777777777777E-2</v>
      </c>
      <c r="I13" s="69">
        <v>2.0486111111111113E-3</v>
      </c>
      <c r="J13" s="69">
        <v>2.2337962962962967E-3</v>
      </c>
      <c r="K13" s="69">
        <v>4.4328703703703709E-3</v>
      </c>
      <c r="L13" s="69">
        <v>7.0601851851851841E-3</v>
      </c>
      <c r="M13" s="69">
        <v>1.3078703703703703E-2</v>
      </c>
      <c r="N13" s="69">
        <v>5.7870370370370378E-4</v>
      </c>
      <c r="O13" s="41">
        <v>6.7986111111111108E-2</v>
      </c>
      <c r="P13" s="53">
        <v>5</v>
      </c>
      <c r="Q13" s="71"/>
      <c r="U13" s="61"/>
      <c r="V13" s="61"/>
      <c r="W13" s="61"/>
      <c r="X13" s="61"/>
    </row>
    <row r="14" spans="1:24" x14ac:dyDescent="0.25">
      <c r="A14" s="53">
        <v>6</v>
      </c>
      <c r="B14" s="40" t="s">
        <v>160</v>
      </c>
      <c r="C14" s="39">
        <v>17</v>
      </c>
      <c r="D14" s="69">
        <v>9.2592592592592605E-3</v>
      </c>
      <c r="E14" s="69">
        <v>6.1342592592592594E-3</v>
      </c>
      <c r="F14" s="69">
        <v>6.2499999999999995E-3</v>
      </c>
      <c r="G14" s="69">
        <v>2.615740740740741E-3</v>
      </c>
      <c r="H14" s="69">
        <v>1.324074074074074E-2</v>
      </c>
      <c r="I14" s="69">
        <v>3.5416666666666665E-3</v>
      </c>
      <c r="J14" s="69">
        <v>2.2916666666666667E-3</v>
      </c>
      <c r="K14" s="69">
        <v>4.3287037037037035E-3</v>
      </c>
      <c r="L14" s="69">
        <v>7.2916666666666659E-3</v>
      </c>
      <c r="M14" s="69">
        <v>1.2685185185185183E-2</v>
      </c>
      <c r="N14" s="69">
        <v>5.7870370370370378E-4</v>
      </c>
      <c r="O14" s="41">
        <v>6.8194444444444446E-2</v>
      </c>
      <c r="P14" s="53">
        <v>6</v>
      </c>
      <c r="Q14" s="71"/>
      <c r="S14" s="61"/>
      <c r="U14" s="62"/>
      <c r="V14" s="61"/>
      <c r="W14" s="61"/>
    </row>
    <row r="15" spans="1:24" x14ac:dyDescent="0.25">
      <c r="A15" s="53">
        <v>7</v>
      </c>
      <c r="B15" s="40" t="s">
        <v>162</v>
      </c>
      <c r="C15" s="39">
        <v>23</v>
      </c>
      <c r="D15" s="69">
        <v>9.7222222222222224E-3</v>
      </c>
      <c r="E15" s="69">
        <v>8.1018518518518514E-3</v>
      </c>
      <c r="F15" s="69">
        <v>5.6944444444444438E-3</v>
      </c>
      <c r="G15" s="69">
        <v>2.4305555555555556E-3</v>
      </c>
      <c r="H15" s="69">
        <v>1.6412037037037037E-2</v>
      </c>
      <c r="I15" s="69">
        <v>2.0833333333333333E-3</v>
      </c>
      <c r="J15" s="69">
        <v>2.0833333333333333E-3</v>
      </c>
      <c r="K15" s="69">
        <v>4.8379629629629632E-3</v>
      </c>
      <c r="L15" s="69">
        <v>5.4629629629629637E-3</v>
      </c>
      <c r="M15" s="69">
        <v>1.1458333333333334E-2</v>
      </c>
      <c r="N15" s="69">
        <v>5.5555555555555556E-4</v>
      </c>
      <c r="O15" s="41">
        <v>6.8842592592592594E-2</v>
      </c>
      <c r="P15" s="53">
        <v>7</v>
      </c>
      <c r="Q15" s="71"/>
      <c r="S15" s="61"/>
      <c r="T15" s="61"/>
      <c r="U15" s="62"/>
      <c r="V15" s="61"/>
      <c r="W15" s="61"/>
      <c r="X15" s="61"/>
    </row>
    <row r="16" spans="1:24" x14ac:dyDescent="0.25">
      <c r="A16" s="53">
        <v>8</v>
      </c>
      <c r="B16" s="40" t="s">
        <v>172</v>
      </c>
      <c r="C16" s="39">
        <v>8</v>
      </c>
      <c r="D16" s="69">
        <v>8.9120370370370378E-3</v>
      </c>
      <c r="E16" s="69">
        <v>5.9027777777777776E-3</v>
      </c>
      <c r="F16" s="69">
        <v>6.6898148148148142E-3</v>
      </c>
      <c r="G16" s="69">
        <v>4.7569444444444447E-3</v>
      </c>
      <c r="H16" s="69">
        <v>1.4004629629629631E-2</v>
      </c>
      <c r="I16" s="69">
        <v>2.1412037037037038E-3</v>
      </c>
      <c r="J16" s="69">
        <v>3.1828703703703702E-3</v>
      </c>
      <c r="K16" s="69">
        <v>4.2361111111111106E-3</v>
      </c>
      <c r="L16" s="69">
        <v>6.0648148148148145E-3</v>
      </c>
      <c r="M16" s="69">
        <v>1.4317129629629631E-2</v>
      </c>
      <c r="N16" s="69">
        <v>5.7870370370370378E-4</v>
      </c>
      <c r="O16" s="41">
        <v>7.0787037037037037E-2</v>
      </c>
      <c r="P16" s="53">
        <v>8</v>
      </c>
      <c r="Q16" s="71"/>
      <c r="S16" s="61"/>
      <c r="U16" s="61"/>
      <c r="V16" s="61"/>
      <c r="W16" s="61"/>
      <c r="X16" s="61"/>
    </row>
    <row r="17" spans="1:24" x14ac:dyDescent="0.25">
      <c r="A17" s="53">
        <v>9</v>
      </c>
      <c r="B17" s="43" t="s">
        <v>214</v>
      </c>
      <c r="C17" s="39">
        <v>26</v>
      </c>
      <c r="D17" s="69">
        <v>8.3333333333333332E-3</v>
      </c>
      <c r="F17" s="69">
        <v>1.3622685185185184E-2</v>
      </c>
      <c r="G17" s="69">
        <v>4.0277777777777777E-3</v>
      </c>
      <c r="H17" s="69">
        <v>1.4988425925925926E-2</v>
      </c>
      <c r="I17" s="69">
        <v>2.7777777777777779E-3</v>
      </c>
      <c r="J17" s="69">
        <v>2.3726851851851851E-3</v>
      </c>
      <c r="K17" s="69">
        <v>5.0925925925925921E-3</v>
      </c>
      <c r="L17" s="69">
        <v>7.1180555555555554E-3</v>
      </c>
      <c r="M17" s="69">
        <v>1.2002314814814815E-2</v>
      </c>
      <c r="N17" s="69">
        <v>5.5555555555555556E-4</v>
      </c>
      <c r="O17" s="41">
        <v>7.0891203703703706E-2</v>
      </c>
      <c r="P17" s="53">
        <v>9</v>
      </c>
      <c r="Q17" s="71"/>
      <c r="S17" s="61"/>
      <c r="T17" s="61"/>
      <c r="U17" s="61"/>
      <c r="V17" s="61"/>
      <c r="W17" s="61"/>
    </row>
    <row r="18" spans="1:24" x14ac:dyDescent="0.25">
      <c r="A18" s="53">
        <v>10</v>
      </c>
      <c r="B18" s="40" t="s">
        <v>149</v>
      </c>
      <c r="C18" s="39">
        <v>21</v>
      </c>
      <c r="D18" s="69">
        <v>8.6805555555555559E-3</v>
      </c>
      <c r="E18" s="69">
        <v>6.0185185185185177E-3</v>
      </c>
      <c r="F18" s="69">
        <v>5.6481481481481478E-3</v>
      </c>
      <c r="G18" s="69">
        <v>3.0208333333333333E-3</v>
      </c>
      <c r="H18" s="69">
        <v>1.6261574074074074E-2</v>
      </c>
      <c r="I18" s="69">
        <v>2.9629629629629628E-3</v>
      </c>
      <c r="J18" s="69">
        <v>2.0254629629629629E-3</v>
      </c>
      <c r="K18" s="69">
        <v>3.9814814814814817E-3</v>
      </c>
      <c r="L18" s="69">
        <v>8.4606481481481494E-3</v>
      </c>
      <c r="M18" s="69">
        <v>1.3368055555555557E-2</v>
      </c>
      <c r="N18" s="69">
        <v>5.7870370370370378E-4</v>
      </c>
      <c r="O18" s="41">
        <v>7.1006944444444442E-2</v>
      </c>
      <c r="P18" s="53">
        <v>10</v>
      </c>
      <c r="Q18" s="71"/>
      <c r="S18" s="61"/>
      <c r="T18" s="61"/>
      <c r="U18" s="62"/>
      <c r="V18" s="61"/>
      <c r="W18" s="61"/>
      <c r="X18" s="61"/>
    </row>
    <row r="19" spans="1:24" x14ac:dyDescent="0.25">
      <c r="A19" s="53">
        <v>11</v>
      </c>
      <c r="B19" s="40" t="s">
        <v>143</v>
      </c>
      <c r="C19" s="39">
        <v>25</v>
      </c>
      <c r="D19" s="69">
        <v>9.2013888888888892E-3</v>
      </c>
      <c r="E19" s="69">
        <v>4.8032407407407407E-3</v>
      </c>
      <c r="F19" s="69">
        <v>6.4004629629629628E-3</v>
      </c>
      <c r="G19" s="69">
        <v>3.0439814814814821E-3</v>
      </c>
      <c r="H19" s="69">
        <v>1.8912037037037036E-2</v>
      </c>
      <c r="I19" s="69">
        <v>2.7662037037037034E-3</v>
      </c>
      <c r="J19" s="69">
        <v>3.2060185185185191E-3</v>
      </c>
      <c r="K19" s="69">
        <v>4.3287037037037035E-3</v>
      </c>
      <c r="L19" s="69">
        <v>6.030092592592593E-3</v>
      </c>
      <c r="M19" s="69">
        <v>1.2499999999999999E-2</v>
      </c>
      <c r="N19" s="69">
        <v>5.7870370370370378E-4</v>
      </c>
      <c r="O19" s="41">
        <v>7.1770833333333339E-2</v>
      </c>
      <c r="P19" s="53">
        <v>11</v>
      </c>
      <c r="Q19" s="71"/>
      <c r="S19" s="61"/>
      <c r="U19" s="61"/>
      <c r="V19" s="61"/>
      <c r="W19" s="61"/>
      <c r="X19" s="61"/>
    </row>
    <row r="20" spans="1:24" x14ac:dyDescent="0.25">
      <c r="A20" s="53">
        <v>12</v>
      </c>
      <c r="B20" s="40" t="s">
        <v>151</v>
      </c>
      <c r="C20" s="39">
        <v>3</v>
      </c>
      <c r="D20" s="69">
        <v>9.7222222222222224E-3</v>
      </c>
      <c r="E20" s="69">
        <v>5.6712962962962958E-3</v>
      </c>
      <c r="F20" s="69">
        <v>6.0069444444444441E-3</v>
      </c>
      <c r="G20" s="69">
        <v>2.9050925925925928E-3</v>
      </c>
      <c r="H20" s="69">
        <v>1.5972222222222224E-2</v>
      </c>
      <c r="I20" s="69">
        <v>2.0717592592592593E-3</v>
      </c>
      <c r="J20" s="69">
        <v>2.9398148148148148E-3</v>
      </c>
      <c r="K20" s="69">
        <v>5.3240740740740748E-3</v>
      </c>
      <c r="L20" s="69">
        <v>7.3495370370370372E-3</v>
      </c>
      <c r="M20" s="69">
        <v>1.3541666666666667E-2</v>
      </c>
      <c r="N20" s="69">
        <v>5.7870370370370378E-4</v>
      </c>
      <c r="O20" s="41">
        <v>7.2083333333333333E-2</v>
      </c>
      <c r="P20" s="53">
        <v>12</v>
      </c>
      <c r="Q20" s="71"/>
      <c r="S20" s="61"/>
      <c r="U20" s="61"/>
      <c r="V20" s="61"/>
      <c r="W20" s="61"/>
    </row>
    <row r="21" spans="1:24" x14ac:dyDescent="0.25">
      <c r="A21" s="53">
        <v>13</v>
      </c>
      <c r="B21" s="40" t="s">
        <v>142</v>
      </c>
      <c r="C21" s="39">
        <v>28</v>
      </c>
      <c r="D21" s="69">
        <v>8.9120370370370378E-3</v>
      </c>
      <c r="E21" s="69">
        <v>6.0185185185185177E-3</v>
      </c>
      <c r="F21" s="69">
        <v>6.5972222222222222E-3</v>
      </c>
      <c r="G21" s="69">
        <v>4.5486111111111109E-3</v>
      </c>
      <c r="H21" s="69">
        <v>1.2812499999999999E-2</v>
      </c>
      <c r="I21" s="69">
        <v>2.3495370370370371E-3</v>
      </c>
      <c r="J21" s="69">
        <v>2.2916666666666667E-3</v>
      </c>
      <c r="K21" s="69">
        <v>5.9722222222222225E-3</v>
      </c>
      <c r="L21" s="69">
        <v>7.7083333333333335E-3</v>
      </c>
      <c r="M21" s="69">
        <v>1.4097222222222221E-2</v>
      </c>
      <c r="N21" s="69">
        <v>5.7870370370370378E-4</v>
      </c>
      <c r="O21" s="41">
        <v>7.2349537037037046E-2</v>
      </c>
      <c r="P21" s="53">
        <v>13</v>
      </c>
      <c r="Q21" s="71"/>
      <c r="S21" s="61"/>
      <c r="T21" s="61"/>
      <c r="U21" s="62"/>
      <c r="V21" s="61"/>
      <c r="W21" s="61"/>
      <c r="X21" s="61"/>
    </row>
    <row r="22" spans="1:24" x14ac:dyDescent="0.25">
      <c r="A22" s="53">
        <v>14</v>
      </c>
      <c r="B22" s="43" t="s">
        <v>125</v>
      </c>
      <c r="C22" s="39">
        <v>6</v>
      </c>
      <c r="D22" s="69">
        <v>1.0590277777777777E-2</v>
      </c>
      <c r="E22" s="69">
        <v>5.9606481481481489E-3</v>
      </c>
      <c r="F22" s="69">
        <v>6.8634259259259256E-3</v>
      </c>
      <c r="G22" s="69">
        <v>3.5532407407407405E-3</v>
      </c>
      <c r="H22" s="69">
        <v>1.2615740740740742E-2</v>
      </c>
      <c r="I22" s="69">
        <v>2.7662037037037034E-3</v>
      </c>
      <c r="J22" s="69">
        <v>2.8356481481481479E-3</v>
      </c>
      <c r="K22" s="69">
        <v>8.6805555555555559E-3</v>
      </c>
      <c r="L22" s="69">
        <v>5.5671296296296302E-3</v>
      </c>
      <c r="M22" s="69">
        <v>1.2418981481481482E-2</v>
      </c>
      <c r="N22" s="69">
        <v>5.0925925925925921E-4</v>
      </c>
      <c r="O22" s="41">
        <v>7.2361111111111112E-2</v>
      </c>
      <c r="P22" s="53">
        <v>14</v>
      </c>
      <c r="Q22" s="71"/>
      <c r="U22" s="62"/>
      <c r="V22" s="61"/>
      <c r="W22" s="61"/>
      <c r="X22" s="61"/>
    </row>
    <row r="23" spans="1:24" x14ac:dyDescent="0.25">
      <c r="A23" s="53">
        <v>15</v>
      </c>
      <c r="B23" s="43" t="s">
        <v>136</v>
      </c>
      <c r="C23" s="39">
        <v>2</v>
      </c>
      <c r="D23" s="69">
        <v>8.5069444444444437E-3</v>
      </c>
      <c r="E23" s="69">
        <v>9.780092592592592E-3</v>
      </c>
      <c r="F23" s="69">
        <v>5.7291666666666671E-3</v>
      </c>
      <c r="G23" s="69">
        <v>3.0092592592592588E-3</v>
      </c>
      <c r="H23" s="69">
        <v>1.5335648148148147E-2</v>
      </c>
      <c r="I23" s="69">
        <v>2.8819444444444444E-3</v>
      </c>
      <c r="J23" s="69">
        <v>2.4652777777777776E-3</v>
      </c>
      <c r="K23" s="69">
        <v>5.185185185185185E-3</v>
      </c>
      <c r="L23" s="69">
        <v>6.7013888888888887E-3</v>
      </c>
      <c r="M23" s="69">
        <v>1.2465277777777777E-2</v>
      </c>
      <c r="N23" s="69">
        <v>5.7870370370370378E-4</v>
      </c>
      <c r="O23" s="41">
        <v>7.2638888888888892E-2</v>
      </c>
      <c r="P23" s="53">
        <v>15</v>
      </c>
      <c r="Q23" s="71"/>
      <c r="S23" s="61"/>
      <c r="T23" s="61"/>
      <c r="U23" s="62"/>
      <c r="V23" s="61"/>
      <c r="W23" s="61"/>
      <c r="X23" s="61"/>
    </row>
    <row r="24" spans="1:24" x14ac:dyDescent="0.25">
      <c r="A24" s="53">
        <v>16</v>
      </c>
      <c r="B24" s="43" t="s">
        <v>174</v>
      </c>
      <c r="C24" s="39">
        <v>15</v>
      </c>
      <c r="D24" s="69">
        <v>8.3912037037037045E-3</v>
      </c>
      <c r="E24" s="69">
        <v>7.2337962962962963E-3</v>
      </c>
      <c r="F24" s="69">
        <v>6.3425925925925915E-3</v>
      </c>
      <c r="G24" s="69">
        <v>3.0787037037037037E-3</v>
      </c>
      <c r="H24" s="69">
        <v>1.6597222222222222E-2</v>
      </c>
      <c r="I24" s="69">
        <v>3.483796296296296E-3</v>
      </c>
      <c r="J24" s="69">
        <v>2.3611111111111111E-3</v>
      </c>
      <c r="K24" s="69">
        <v>4.340277777777778E-3</v>
      </c>
      <c r="L24" s="69">
        <v>6.7708333333333336E-3</v>
      </c>
      <c r="M24" s="69">
        <v>1.4293981481481482E-2</v>
      </c>
      <c r="N24" s="69">
        <v>5.5555555555555556E-4</v>
      </c>
      <c r="O24" s="41">
        <v>7.3356481481481481E-2</v>
      </c>
      <c r="P24" s="53">
        <v>16</v>
      </c>
      <c r="Q24" s="71"/>
      <c r="S24" s="61"/>
      <c r="T24" s="61"/>
      <c r="U24" s="61"/>
      <c r="V24" s="61"/>
      <c r="W24" s="61"/>
    </row>
    <row r="25" spans="1:24" x14ac:dyDescent="0.25">
      <c r="A25" s="53">
        <v>17</v>
      </c>
      <c r="B25" s="40" t="s">
        <v>145</v>
      </c>
      <c r="C25" s="39">
        <v>13</v>
      </c>
      <c r="D25" s="69">
        <v>8.4490740740740741E-3</v>
      </c>
      <c r="E25" s="69">
        <v>6.0185185185185177E-3</v>
      </c>
      <c r="F25" s="69">
        <v>7.6388888888888886E-3</v>
      </c>
      <c r="G25" s="69">
        <v>2.7893518518518519E-3</v>
      </c>
      <c r="H25" s="69">
        <v>1.6770833333333332E-2</v>
      </c>
      <c r="I25" s="69">
        <v>2.7199074074074074E-3</v>
      </c>
      <c r="J25" s="69">
        <v>2.8703703703703708E-3</v>
      </c>
      <c r="K25" s="69">
        <v>5.6712962962962958E-3</v>
      </c>
      <c r="L25" s="69">
        <v>7.1412037037037043E-3</v>
      </c>
      <c r="M25" s="69">
        <v>1.3321759259259261E-2</v>
      </c>
      <c r="N25" s="69">
        <v>5.6712962962962956E-4</v>
      </c>
      <c r="O25" s="41">
        <v>7.3842592592592585E-2</v>
      </c>
      <c r="P25" s="53">
        <v>17</v>
      </c>
      <c r="Q25" s="71"/>
      <c r="S25" s="61"/>
      <c r="T25" s="61"/>
      <c r="U25" s="62"/>
      <c r="V25" s="61"/>
      <c r="W25" s="61"/>
      <c r="X25" s="61"/>
    </row>
    <row r="26" spans="1:24" x14ac:dyDescent="0.25">
      <c r="A26" s="53">
        <v>18</v>
      </c>
      <c r="B26" s="40" t="s">
        <v>156</v>
      </c>
      <c r="C26" s="39">
        <v>1</v>
      </c>
      <c r="D26" s="69">
        <v>1.3078703703703703E-2</v>
      </c>
      <c r="E26" s="69">
        <v>4.3981481481481484E-3</v>
      </c>
      <c r="F26" s="69">
        <v>6.1921296296296299E-3</v>
      </c>
      <c r="G26" s="69">
        <v>2.8009259259259259E-3</v>
      </c>
      <c r="H26" s="69">
        <v>1.7974537037037035E-2</v>
      </c>
      <c r="I26" s="69">
        <v>2.0833333333333333E-3</v>
      </c>
      <c r="J26" s="69">
        <v>2.8587962962962963E-3</v>
      </c>
      <c r="K26" s="69">
        <v>5.5092592592592589E-3</v>
      </c>
      <c r="L26" s="69">
        <v>7.2106481481481475E-3</v>
      </c>
      <c r="M26" s="69">
        <v>1.1909722222222223E-2</v>
      </c>
      <c r="N26" s="69">
        <v>4.8611111111111104E-4</v>
      </c>
      <c r="O26" s="41">
        <v>7.4502314814814813E-2</v>
      </c>
      <c r="P26" s="53">
        <v>18</v>
      </c>
      <c r="Q26" s="71"/>
      <c r="S26" s="61"/>
      <c r="T26" s="61"/>
      <c r="U26" s="62"/>
      <c r="V26" s="61"/>
      <c r="W26" s="61"/>
      <c r="X26" s="61"/>
    </row>
    <row r="27" spans="1:24" x14ac:dyDescent="0.25">
      <c r="A27" s="53">
        <v>19</v>
      </c>
      <c r="B27" s="40" t="s">
        <v>170</v>
      </c>
      <c r="C27" s="39">
        <v>10</v>
      </c>
      <c r="D27" s="69">
        <v>8.5069444444444437E-3</v>
      </c>
      <c r="E27" s="69">
        <v>6.1921296296296299E-3</v>
      </c>
      <c r="F27" s="69">
        <v>6.122685185185185E-3</v>
      </c>
      <c r="G27" s="69">
        <v>3.0787037037037037E-3</v>
      </c>
      <c r="H27" s="69">
        <v>2.193287037037037E-2</v>
      </c>
      <c r="I27" s="69">
        <v>2.8472222222222219E-3</v>
      </c>
      <c r="J27" s="69">
        <v>2.0370370370370373E-3</v>
      </c>
      <c r="K27" s="69">
        <v>4.6064814814814814E-3</v>
      </c>
      <c r="L27" s="69">
        <v>5.9143518518518521E-3</v>
      </c>
      <c r="M27" s="69">
        <v>1.2719907407407407E-2</v>
      </c>
      <c r="N27" s="69">
        <v>5.7870370370370378E-4</v>
      </c>
      <c r="O27" s="41">
        <v>7.4537037037037041E-2</v>
      </c>
      <c r="P27" s="53">
        <v>19</v>
      </c>
      <c r="Q27" s="71"/>
      <c r="S27" s="61"/>
      <c r="U27" s="62"/>
      <c r="V27" s="61"/>
      <c r="W27" s="61"/>
      <c r="X27" s="61"/>
    </row>
    <row r="28" spans="1:24" x14ac:dyDescent="0.25">
      <c r="A28" s="53">
        <v>20</v>
      </c>
      <c r="B28" s="40" t="s">
        <v>128</v>
      </c>
      <c r="C28" s="39">
        <v>7</v>
      </c>
      <c r="D28" s="69">
        <v>9.5486111111111101E-3</v>
      </c>
      <c r="E28" s="69">
        <v>6.8865740740740736E-3</v>
      </c>
      <c r="F28" s="69">
        <v>6.875E-3</v>
      </c>
      <c r="G28" s="69">
        <v>2.8240740740740739E-3</v>
      </c>
      <c r="H28" s="69">
        <v>1.8310185185185186E-2</v>
      </c>
      <c r="I28" s="69">
        <v>2.8819444444444444E-3</v>
      </c>
      <c r="J28" s="69">
        <v>2.9513888888888888E-3</v>
      </c>
      <c r="K28" s="69">
        <v>4.7800925925925919E-3</v>
      </c>
      <c r="L28" s="69">
        <v>7.6620370370370366E-3</v>
      </c>
      <c r="M28" s="69">
        <v>1.3668981481481482E-2</v>
      </c>
      <c r="N28" s="69">
        <v>5.7870370370370378E-4</v>
      </c>
      <c r="O28" s="41">
        <v>7.6967592592592601E-2</v>
      </c>
      <c r="P28" s="53">
        <v>20</v>
      </c>
      <c r="Q28" s="71"/>
      <c r="S28" s="61"/>
      <c r="V28" s="61"/>
      <c r="W28" s="61"/>
      <c r="X28" s="61"/>
    </row>
    <row r="29" spans="1:24" x14ac:dyDescent="0.25">
      <c r="A29" s="53">
        <v>21</v>
      </c>
      <c r="B29" s="40" t="s">
        <v>141</v>
      </c>
      <c r="C29" s="39">
        <v>11</v>
      </c>
      <c r="D29" s="69">
        <v>8.3333333333333332E-3</v>
      </c>
      <c r="E29" s="69">
        <v>5.9027777777777776E-3</v>
      </c>
      <c r="F29" s="69">
        <v>6.7708333333333336E-3</v>
      </c>
      <c r="G29" s="69">
        <v>3.5416666666666665E-3</v>
      </c>
      <c r="H29" s="69">
        <v>2.1284722222222222E-2</v>
      </c>
      <c r="I29" s="69">
        <v>2.7777777777777779E-3</v>
      </c>
      <c r="J29" s="69">
        <v>2.1412037037037038E-3</v>
      </c>
      <c r="K29" s="69">
        <v>4.5138888888888893E-3</v>
      </c>
      <c r="L29" s="69">
        <v>9.3171296296296283E-3</v>
      </c>
      <c r="M29" s="69">
        <v>1.3599537037037037E-2</v>
      </c>
      <c r="N29" s="69">
        <v>4.8611111111111104E-4</v>
      </c>
      <c r="O29" s="41">
        <v>7.7974537037037037E-2</v>
      </c>
      <c r="P29" s="53">
        <v>21</v>
      </c>
      <c r="Q29" s="71"/>
      <c r="S29" s="61"/>
      <c r="T29" s="61"/>
      <c r="U29" s="61"/>
      <c r="W29" s="61"/>
      <c r="X29" s="61"/>
    </row>
    <row r="30" spans="1:24" x14ac:dyDescent="0.25">
      <c r="A30" s="53">
        <v>22</v>
      </c>
      <c r="B30" s="43" t="s">
        <v>178</v>
      </c>
      <c r="C30" s="39">
        <v>27</v>
      </c>
      <c r="D30" s="69">
        <v>1.0590277777777777E-2</v>
      </c>
      <c r="E30" s="70">
        <v>8.9699074074074073E-3</v>
      </c>
      <c r="F30" s="70">
        <v>6.0069444444444441E-3</v>
      </c>
      <c r="G30" s="69">
        <v>4.5023148148148149E-3</v>
      </c>
      <c r="H30" s="69">
        <v>1.4374999999999999E-2</v>
      </c>
      <c r="I30" s="69">
        <v>2.7083333333333334E-3</v>
      </c>
      <c r="J30" s="69">
        <v>2.6620370370370374E-3</v>
      </c>
      <c r="K30" s="69">
        <v>5.208333333333333E-3</v>
      </c>
      <c r="L30" s="69">
        <v>8.2407407407407412E-3</v>
      </c>
      <c r="M30" s="69">
        <v>1.4328703703703703E-2</v>
      </c>
      <c r="N30" s="69">
        <v>5.7870370370370378E-4</v>
      </c>
      <c r="O30" s="41">
        <v>7.8171296296296308E-2</v>
      </c>
      <c r="P30" s="53">
        <v>22</v>
      </c>
      <c r="Q30" s="71"/>
      <c r="S30" s="61"/>
      <c r="U30" s="61"/>
      <c r="V30" s="61"/>
      <c r="W30" s="61"/>
      <c r="X30" s="61"/>
    </row>
    <row r="31" spans="1:24" x14ac:dyDescent="0.25">
      <c r="A31" s="53">
        <v>23</v>
      </c>
      <c r="B31" s="40" t="s">
        <v>131</v>
      </c>
      <c r="C31" s="39">
        <v>12</v>
      </c>
      <c r="D31" s="69">
        <v>1.4236111111111111E-2</v>
      </c>
      <c r="E31" s="70">
        <v>7.69675925925926E-3</v>
      </c>
      <c r="F31" s="70">
        <v>6.4814814814814813E-3</v>
      </c>
      <c r="G31" s="69">
        <v>2.9050925925925928E-3</v>
      </c>
      <c r="H31" s="69">
        <v>1.5208333333333332E-2</v>
      </c>
      <c r="I31" s="69">
        <v>2.0833333333333333E-3</v>
      </c>
      <c r="J31" s="69">
        <v>2.1759259259259258E-3</v>
      </c>
      <c r="K31" s="69">
        <v>6.6435185185185182E-3</v>
      </c>
      <c r="L31" s="69">
        <v>7.7314814814814815E-3</v>
      </c>
      <c r="M31" s="69">
        <v>1.2789351851851852E-2</v>
      </c>
      <c r="N31" s="69">
        <v>5.5555555555555556E-4</v>
      </c>
      <c r="O31" s="41">
        <v>7.8506944444444449E-2</v>
      </c>
      <c r="P31" s="53">
        <v>23</v>
      </c>
      <c r="Q31" s="71"/>
      <c r="S31" s="61"/>
      <c r="U31" s="62"/>
      <c r="V31" s="61"/>
      <c r="W31" s="61"/>
      <c r="X31" s="61"/>
    </row>
    <row r="32" spans="1:24" x14ac:dyDescent="0.25">
      <c r="A32" s="53">
        <v>24</v>
      </c>
      <c r="B32" s="43" t="s">
        <v>147</v>
      </c>
      <c r="C32" s="39">
        <v>16</v>
      </c>
      <c r="D32" s="69">
        <v>1.2615740740740742E-2</v>
      </c>
      <c r="E32" s="69">
        <v>5.0925925925925921E-3</v>
      </c>
      <c r="F32" s="69">
        <v>6.0995370370370361E-3</v>
      </c>
      <c r="G32" s="69">
        <v>2.5578703703703705E-3</v>
      </c>
      <c r="H32" s="69">
        <v>1.6689814814814817E-2</v>
      </c>
      <c r="I32" s="70">
        <v>2.9166666666666668E-3</v>
      </c>
      <c r="J32" s="70">
        <v>2.3148148148148151E-3</v>
      </c>
      <c r="K32" s="70">
        <v>8.611111111111111E-3</v>
      </c>
      <c r="L32" s="70">
        <v>7.4768518518518526E-3</v>
      </c>
      <c r="M32" s="70">
        <v>1.4363425925925925E-2</v>
      </c>
      <c r="N32" s="69">
        <v>5.7870370370370378E-4</v>
      </c>
      <c r="O32" s="41">
        <v>7.930555555555556E-2</v>
      </c>
      <c r="P32" s="53">
        <v>24</v>
      </c>
      <c r="Q32" s="71"/>
      <c r="S32" s="61"/>
      <c r="T32" s="61"/>
      <c r="U32" s="62"/>
      <c r="V32" s="61"/>
      <c r="X32" s="61"/>
    </row>
    <row r="33" spans="1:24" x14ac:dyDescent="0.25">
      <c r="A33" s="53">
        <v>25</v>
      </c>
      <c r="B33" s="43" t="s">
        <v>164</v>
      </c>
      <c r="C33" s="39">
        <v>18</v>
      </c>
      <c r="D33" s="69">
        <v>1.0069444444444445E-2</v>
      </c>
      <c r="E33" s="69">
        <v>6.2499999999999995E-3</v>
      </c>
      <c r="F33" s="69">
        <v>7.4074074074074068E-3</v>
      </c>
      <c r="G33" s="69">
        <v>3.4606481481481485E-3</v>
      </c>
      <c r="H33" s="69">
        <v>1.7951388888888888E-2</v>
      </c>
      <c r="I33" s="69">
        <v>2.1296296296296298E-3</v>
      </c>
      <c r="J33" s="69">
        <v>3.1249999999999997E-3</v>
      </c>
      <c r="K33" s="69">
        <v>6.238425925925925E-3</v>
      </c>
      <c r="L33" s="69">
        <v>1.037037037037037E-2</v>
      </c>
      <c r="M33" s="69">
        <v>1.4317129629629631E-2</v>
      </c>
      <c r="N33" s="69">
        <v>5.7870370370370378E-4</v>
      </c>
      <c r="O33" s="41">
        <v>8.189814814814815E-2</v>
      </c>
      <c r="P33" s="53">
        <v>25</v>
      </c>
      <c r="Q33" s="71"/>
      <c r="S33" s="61"/>
      <c r="U33" s="62"/>
      <c r="V33" s="61"/>
      <c r="W33" s="61"/>
      <c r="X33" s="61"/>
    </row>
    <row r="34" spans="1:24" x14ac:dyDescent="0.25">
      <c r="A34" s="53">
        <v>26</v>
      </c>
      <c r="B34" s="43" t="s">
        <v>180</v>
      </c>
      <c r="C34" s="39">
        <v>5</v>
      </c>
      <c r="D34" s="69">
        <v>1.2152777777777778E-2</v>
      </c>
      <c r="E34" s="69">
        <v>7.5462962962962966E-3</v>
      </c>
      <c r="F34" s="69">
        <v>8.2291666666666659E-3</v>
      </c>
      <c r="G34" s="69">
        <v>4.7337962962962958E-3</v>
      </c>
      <c r="H34" s="69">
        <v>2.1157407407407406E-2</v>
      </c>
      <c r="I34" s="69">
        <v>3.8310185185185183E-3</v>
      </c>
      <c r="J34" s="69">
        <v>3.425925925925926E-3</v>
      </c>
      <c r="K34" s="69">
        <v>5.138888888888889E-3</v>
      </c>
      <c r="L34" s="69">
        <v>1.1400462962962965E-2</v>
      </c>
      <c r="M34" s="69">
        <v>1.6064814814814813E-2</v>
      </c>
      <c r="N34" s="69">
        <v>5.7870370370370378E-4</v>
      </c>
      <c r="O34" s="41">
        <v>9.4259259259259265E-2</v>
      </c>
      <c r="P34" s="53">
        <v>26</v>
      </c>
      <c r="Q34" s="71"/>
      <c r="S34" s="61"/>
      <c r="U34" s="62"/>
      <c r="V34" s="61"/>
      <c r="W34" s="61"/>
      <c r="X34" s="61"/>
    </row>
    <row r="35" spans="1:24" x14ac:dyDescent="0.25">
      <c r="A35" s="53">
        <v>27</v>
      </c>
      <c r="B35" s="40" t="s">
        <v>148</v>
      </c>
      <c r="C35" s="39">
        <v>20</v>
      </c>
      <c r="D35" s="69">
        <v>8.8541666666666664E-3</v>
      </c>
      <c r="E35" s="69">
        <v>4.9189814814814816E-3</v>
      </c>
      <c r="F35" s="69">
        <v>7.1412037037037043E-3</v>
      </c>
      <c r="G35" s="69">
        <v>2.4768518518518516E-3</v>
      </c>
      <c r="H35" s="69">
        <v>1.480324074074074E-2</v>
      </c>
      <c r="I35" s="69">
        <v>2.0833333333333333E-3</v>
      </c>
      <c r="J35" s="69">
        <v>2.7777777777777779E-3</v>
      </c>
      <c r="K35" s="69">
        <v>5.185185185185185E-3</v>
      </c>
      <c r="L35" s="69" t="s">
        <v>211</v>
      </c>
      <c r="M35" s="69"/>
      <c r="N35" s="69"/>
      <c r="O35" s="44"/>
      <c r="P35" s="53"/>
    </row>
    <row r="36" spans="1:24" x14ac:dyDescent="0.25">
      <c r="A36" s="53">
        <v>28</v>
      </c>
      <c r="B36" s="43" t="s">
        <v>124</v>
      </c>
      <c r="C36" s="39">
        <v>14</v>
      </c>
      <c r="D36" s="69">
        <v>9.3749999999999997E-3</v>
      </c>
      <c r="E36" s="69">
        <v>6.7129629629629622E-3</v>
      </c>
      <c r="F36" s="69">
        <v>8.2754629629629619E-3</v>
      </c>
      <c r="G36" s="69">
        <v>3.530092592592592E-3</v>
      </c>
      <c r="H36" s="69">
        <v>2.5578703703703704E-2</v>
      </c>
      <c r="I36" s="69" t="s">
        <v>211</v>
      </c>
      <c r="J36" s="69"/>
      <c r="K36" s="69"/>
      <c r="L36" s="69"/>
      <c r="M36" s="69"/>
      <c r="N36" s="69"/>
      <c r="O36" s="44"/>
      <c r="P36" s="53"/>
    </row>
    <row r="39" spans="1:24" x14ac:dyDescent="0.25">
      <c r="B39" s="1" t="s">
        <v>481</v>
      </c>
    </row>
    <row r="40" spans="1:24" x14ac:dyDescent="0.25">
      <c r="B40" s="1" t="s">
        <v>482</v>
      </c>
    </row>
  </sheetData>
  <mergeCells count="7">
    <mergeCell ref="A8:C8"/>
    <mergeCell ref="A6:A7"/>
    <mergeCell ref="B6:B7"/>
    <mergeCell ref="C6:C7"/>
    <mergeCell ref="D6:N6"/>
    <mergeCell ref="O6:O7"/>
    <mergeCell ref="P6:P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10.09 жа</vt:lpstr>
      <vt:lpstr>10.09 жб</vt:lpstr>
      <vt:lpstr>10.09 ма</vt:lpstr>
      <vt:lpstr>10.09 мб</vt:lpstr>
      <vt:lpstr>11.09 м21</vt:lpstr>
      <vt:lpstr>11.09 ж21</vt:lpstr>
      <vt:lpstr>9.09 ма</vt:lpstr>
      <vt:lpstr>9.09 жа</vt:lpstr>
      <vt:lpstr>9.09 жб</vt:lpstr>
      <vt:lpstr>9.09 мб</vt:lpstr>
      <vt:lpstr>Итог</vt:lpstr>
      <vt:lpstr>9.09 итог жа</vt:lpstr>
      <vt:lpstr>9.09 итог ма</vt:lpstr>
      <vt:lpstr>11.09 ж21 сплиты</vt:lpstr>
      <vt:lpstr>11.09 м21 сплиты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2025-12-27T13:59:39Z</dcterms:modified>
</cp:coreProperties>
</file>