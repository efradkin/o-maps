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YandexDisk\Ориентирование\Сканирование архивов Куницына\Чемпионат СССР\1982 II Чемпионат СССР [Великие Луки]\"/>
    </mc:Choice>
  </mc:AlternateContent>
  <bookViews>
    <workbookView xWindow="0" yWindow="0" windowWidth="23040" windowHeight="8904" tabRatio="726" firstSheet="8" activeTab="15"/>
  </bookViews>
  <sheets>
    <sheet name="Итог А" sheetId="5" r:id="rId1"/>
    <sheet name="25.08 ам21" sheetId="6" r:id="rId2"/>
    <sheet name="25.08 ам21 рез" sheetId="10" r:id="rId3"/>
    <sheet name="25.08 аж21" sheetId="7" r:id="rId4"/>
    <sheet name="25.08 аж21 рез" sheetId="12" r:id="rId5"/>
    <sheet name="25.08 ам17" sheetId="8" r:id="rId6"/>
    <sheet name="25.08 ам17 рез" sheetId="14" r:id="rId7"/>
    <sheet name="25.08 аж17" sheetId="9" r:id="rId8"/>
    <sheet name="25.08 аж17 рез" sheetId="15" r:id="rId9"/>
    <sheet name="27.08 ам21" sheetId="20" r:id="rId10"/>
    <sheet name="27.08 аж21" sheetId="33" r:id="rId11"/>
    <sheet name="27.08 аж17" sheetId="34" r:id="rId12"/>
    <sheet name="27.08 ам17" sheetId="35" r:id="rId13"/>
    <sheet name="Итог Б" sheetId="26" r:id="rId14"/>
    <sheet name="27.08 бж21" sheetId="36" r:id="rId15"/>
    <sheet name="27.08 бм21" sheetId="37" r:id="rId16"/>
  </sheets>
  <calcPr calcId="162913"/>
</workbook>
</file>

<file path=xl/calcChain.xml><?xml version="1.0" encoding="utf-8"?>
<calcChain xmlns="http://schemas.openxmlformats.org/spreadsheetml/2006/main">
  <c r="G32" i="37" l="1"/>
  <c r="G23" i="37"/>
  <c r="G24" i="37"/>
  <c r="G26" i="37"/>
  <c r="G27" i="37"/>
  <c r="G29" i="37"/>
  <c r="G35" i="37"/>
  <c r="G21" i="37"/>
  <c r="G20" i="37"/>
  <c r="G30" i="36"/>
  <c r="G29" i="36"/>
  <c r="G27" i="36"/>
  <c r="G26" i="36"/>
  <c r="G24" i="36"/>
  <c r="G23" i="36"/>
  <c r="G21" i="36"/>
  <c r="G20" i="36"/>
  <c r="G15" i="26"/>
  <c r="G16" i="26"/>
  <c r="G17" i="26"/>
  <c r="G14" i="26"/>
  <c r="G44" i="35"/>
  <c r="G45" i="35"/>
  <c r="G42" i="35"/>
  <c r="G41" i="35"/>
  <c r="G39" i="35"/>
  <c r="G38" i="35"/>
  <c r="G36" i="35"/>
  <c r="G35" i="35"/>
  <c r="G33" i="35"/>
  <c r="G32" i="35"/>
  <c r="G30" i="35"/>
  <c r="G29" i="35"/>
  <c r="G27" i="35"/>
  <c r="G26" i="35"/>
  <c r="G24" i="35"/>
  <c r="G23" i="35"/>
  <c r="G21" i="35"/>
  <c r="G20" i="35"/>
  <c r="G42" i="34"/>
  <c r="G41" i="34"/>
  <c r="G39" i="34"/>
  <c r="G38" i="34"/>
  <c r="G36" i="34"/>
  <c r="G35" i="34"/>
  <c r="G33" i="34"/>
  <c r="G32" i="34"/>
  <c r="G30" i="34"/>
  <c r="G29" i="34"/>
  <c r="G27" i="34"/>
  <c r="G26" i="34"/>
  <c r="G24" i="34"/>
  <c r="G23" i="34"/>
  <c r="G21" i="34"/>
  <c r="G20" i="34"/>
  <c r="G25" i="33"/>
  <c r="G26" i="33"/>
  <c r="G27" i="33"/>
  <c r="G28" i="33"/>
  <c r="G30" i="33"/>
  <c r="G31" i="33"/>
  <c r="G32" i="33"/>
  <c r="G33" i="33"/>
  <c r="G35" i="33"/>
  <c r="G36" i="33"/>
  <c r="G37" i="33"/>
  <c r="G38" i="33"/>
  <c r="G40" i="33"/>
  <c r="G41" i="33"/>
  <c r="G42" i="33"/>
  <c r="G43" i="33"/>
  <c r="G45" i="33"/>
  <c r="G46" i="33"/>
  <c r="G47" i="33"/>
  <c r="G48" i="33"/>
  <c r="G50" i="33"/>
  <c r="G51" i="33"/>
  <c r="G52" i="33"/>
  <c r="G53" i="33"/>
  <c r="G55" i="33"/>
  <c r="G56" i="33"/>
  <c r="G57" i="33"/>
  <c r="G58" i="33"/>
  <c r="G60" i="33"/>
  <c r="G61" i="33"/>
  <c r="G62" i="33"/>
  <c r="G63" i="33"/>
  <c r="G23" i="33"/>
  <c r="G22" i="33"/>
  <c r="G21" i="33"/>
  <c r="G20" i="33"/>
  <c r="G40" i="20"/>
  <c r="G41" i="20"/>
  <c r="G42" i="20"/>
  <c r="G43" i="20"/>
  <c r="G45" i="20"/>
  <c r="G46" i="20"/>
  <c r="G47" i="20"/>
  <c r="G48" i="20"/>
  <c r="G50" i="20"/>
  <c r="G51" i="20"/>
  <c r="G52" i="20"/>
  <c r="G53" i="20"/>
  <c r="G55" i="20"/>
  <c r="G56" i="20"/>
  <c r="G57" i="20"/>
  <c r="G58" i="20"/>
  <c r="G35" i="20"/>
  <c r="G36" i="20"/>
  <c r="G37" i="20"/>
  <c r="G38" i="20"/>
  <c r="G32" i="20"/>
  <c r="G33" i="20"/>
  <c r="G31" i="20"/>
  <c r="G30" i="20"/>
  <c r="G25" i="20"/>
  <c r="G26" i="20"/>
  <c r="G27" i="20"/>
  <c r="G23" i="20"/>
  <c r="G22" i="20"/>
  <c r="G21" i="20"/>
  <c r="G20" i="20"/>
  <c r="K15" i="5"/>
  <c r="K16" i="5"/>
  <c r="K17" i="5"/>
  <c r="K18" i="5"/>
  <c r="K19" i="5"/>
  <c r="K20" i="5"/>
  <c r="K14" i="5"/>
</calcChain>
</file>

<file path=xl/sharedStrings.xml><?xml version="1.0" encoding="utf-8"?>
<sst xmlns="http://schemas.openxmlformats.org/spreadsheetml/2006/main" count="1429" uniqueCount="387">
  <si>
    <t>СВОДНЫЙ ПРОТОКОЛ РЕЗУЛЬТАТОВ СОРЕВНОВАНИЙ</t>
  </si>
  <si>
    <t>Команда</t>
  </si>
  <si>
    <t>М-21</t>
  </si>
  <si>
    <t>Ж-21</t>
  </si>
  <si>
    <t>Ж-17</t>
  </si>
  <si>
    <t>М-17</t>
  </si>
  <si>
    <t>I</t>
  </si>
  <si>
    <t>Ленинград</t>
  </si>
  <si>
    <t>2,25</t>
  </si>
  <si>
    <t>Украинская ССР</t>
  </si>
  <si>
    <t>Литовская ССР</t>
  </si>
  <si>
    <t>Эстонская ССР</t>
  </si>
  <si>
    <t>Латвийская ССР</t>
  </si>
  <si>
    <t>КОМИТЕТ ПО ФИЗИЧЕСКОЙ КУЛЬТУРЕ И СПОРТУ ПРИ СОВЕТЕ МИНИСТРОВ СССР</t>
  </si>
  <si>
    <t>ЧЕМПИОНАТ И ПЕРВЕНСТВО СССР ПО СПОРТИВНОМУ ОРИЕНТИРОВАНИЮ</t>
  </si>
  <si>
    <t>24-27 августа 1982 года</t>
  </si>
  <si>
    <t>г. Великие Луки</t>
  </si>
  <si>
    <t>№ п/п</t>
  </si>
  <si>
    <t>Очки командного первенства</t>
  </si>
  <si>
    <t>Первый вид программы</t>
  </si>
  <si>
    <t>Второй вид программы</t>
  </si>
  <si>
    <t>Сумма очков</t>
  </si>
  <si>
    <t>Место</t>
  </si>
  <si>
    <t>Примечание</t>
  </si>
  <si>
    <t>-</t>
  </si>
  <si>
    <t>РСФСР</t>
  </si>
  <si>
    <t>Москва</t>
  </si>
  <si>
    <t>РСФСР-2</t>
  </si>
  <si>
    <t>РСФСР-1</t>
  </si>
  <si>
    <t>Белорусская ССР</t>
  </si>
  <si>
    <t>Главный судья</t>
  </si>
  <si>
    <t>Главный секретарь</t>
  </si>
  <si>
    <t>В.А. Никитин (СРК)</t>
  </si>
  <si>
    <t>Н.А. Григоренко (СВК)</t>
  </si>
  <si>
    <t>КОМАНДНЫЙ ПРОТОКОЛ</t>
  </si>
  <si>
    <t>результатов сорвнований по ориентированию в заданном направлении</t>
  </si>
  <si>
    <t>25 августа 1982 года</t>
  </si>
  <si>
    <t>Группа А, М21</t>
  </si>
  <si>
    <t>Результат</t>
  </si>
  <si>
    <t>Очки</t>
  </si>
  <si>
    <t>Группа А, Ж21</t>
  </si>
  <si>
    <t>результатов соревнований по ориентированию в заданном направлении</t>
  </si>
  <si>
    <t>Группа А, М17</t>
  </si>
  <si>
    <t>Группа А, Ж17</t>
  </si>
  <si>
    <t>ПРОТОКОЛ</t>
  </si>
  <si>
    <t>Святкин Михаил</t>
  </si>
  <si>
    <t>65</t>
  </si>
  <si>
    <t>Левичев Александр</t>
  </si>
  <si>
    <t>85</t>
  </si>
  <si>
    <t>МС</t>
  </si>
  <si>
    <t>73</t>
  </si>
  <si>
    <t>83</t>
  </si>
  <si>
    <t>Кивикас Арво</t>
  </si>
  <si>
    <t>53</t>
  </si>
  <si>
    <t>91</t>
  </si>
  <si>
    <t>23</t>
  </si>
  <si>
    <t>Таса Йоханнес</t>
  </si>
  <si>
    <t>33</t>
  </si>
  <si>
    <t>97</t>
  </si>
  <si>
    <t>69</t>
  </si>
  <si>
    <t>Сотников Виктор</t>
  </si>
  <si>
    <t>75</t>
  </si>
  <si>
    <t>39</t>
  </si>
  <si>
    <t>55</t>
  </si>
  <si>
    <t>Шорохов Иван</t>
  </si>
  <si>
    <t>95</t>
  </si>
  <si>
    <t>Зорин Михаил</t>
  </si>
  <si>
    <t>43</t>
  </si>
  <si>
    <t>59</t>
  </si>
  <si>
    <t>Новожилов Сергей</t>
  </si>
  <si>
    <t>79</t>
  </si>
  <si>
    <t>Захаров Игорь</t>
  </si>
  <si>
    <t>99</t>
  </si>
  <si>
    <t>63</t>
  </si>
  <si>
    <t>в/к</t>
  </si>
  <si>
    <t>Длина дистанции: 13,8км</t>
  </si>
  <si>
    <t>Количество КП: 18</t>
  </si>
  <si>
    <t>Контрольное время 3,5 часа</t>
  </si>
  <si>
    <t>Начальник дистанции: СРК Худеньких Ю.</t>
  </si>
  <si>
    <t>Группа А М21</t>
  </si>
  <si>
    <t>Фамилия, имя</t>
  </si>
  <si>
    <t>№ участника</t>
  </si>
  <si>
    <t>Разряд</t>
  </si>
  <si>
    <t>Выполненнный разряд</t>
  </si>
  <si>
    <t>КМС</t>
  </si>
  <si>
    <t>1;46:06</t>
  </si>
  <si>
    <t>Ярвоея Николай</t>
  </si>
  <si>
    <t>Дукште Гунарс</t>
  </si>
  <si>
    <t>Стукан Виктор</t>
  </si>
  <si>
    <t>Кивлениекс Андрис</t>
  </si>
  <si>
    <t>Иванов Юрий</t>
  </si>
  <si>
    <t>Микайтис Римантас</t>
  </si>
  <si>
    <t>Сайтеев Анатолий</t>
  </si>
  <si>
    <t>Симакин Сергей</t>
  </si>
  <si>
    <t>Пирктыньш Андис</t>
  </si>
  <si>
    <t>Прокофьев Борис</t>
  </si>
  <si>
    <t>Натальевич Вячеслав</t>
  </si>
  <si>
    <t>Шалкаускас Альгирдас</t>
  </si>
  <si>
    <t>Гипслис Янис</t>
  </si>
  <si>
    <t>Каннумяэ Урмас</t>
  </si>
  <si>
    <t>Заерко Валерий</t>
  </si>
  <si>
    <t>Корягин Александр</t>
  </si>
  <si>
    <t>Кириченко Сергей</t>
  </si>
  <si>
    <t>Петров Алексей</t>
  </si>
  <si>
    <t>Бортник Василий</t>
  </si>
  <si>
    <t>Луук Калле</t>
  </si>
  <si>
    <t>Кузнецов Сергей</t>
  </si>
  <si>
    <t>Лейбомс Айгарс</t>
  </si>
  <si>
    <t>снят п. 5.1.6</t>
  </si>
  <si>
    <t>сошел</t>
  </si>
  <si>
    <t>Маслов Александр</t>
  </si>
  <si>
    <t>Глушко Александр</t>
  </si>
  <si>
    <t>Овчинников Юрий</t>
  </si>
  <si>
    <t>Лимбенс Илмарс</t>
  </si>
  <si>
    <t>Кузьмин Иван</t>
  </si>
  <si>
    <t>Сайтеев Иосиф</t>
  </si>
  <si>
    <t>Розум Сергей</t>
  </si>
  <si>
    <t>Лавренюк Михаил</t>
  </si>
  <si>
    <t>Бондарь Николай</t>
  </si>
  <si>
    <t>Туленков Михаил</t>
  </si>
  <si>
    <t>Киселев Валерий</t>
  </si>
  <si>
    <t>Усенко Сергей</t>
  </si>
  <si>
    <t>Правило Валентин</t>
  </si>
  <si>
    <t>Урнежюс Виргиниюс</t>
  </si>
  <si>
    <t>Ефимов Сергей</t>
  </si>
  <si>
    <t>Мицкявичус Каролис</t>
  </si>
  <si>
    <t>Козинин Виктор</t>
  </si>
  <si>
    <t>Добровольский Сергей</t>
  </si>
  <si>
    <t>Пташекас Юлиус</t>
  </si>
  <si>
    <t>Леэзик Аре</t>
  </si>
  <si>
    <t>Половнев Александр</t>
  </si>
  <si>
    <t>Ранг соревнований 930 баллов</t>
  </si>
  <si>
    <t>Класс дистанций: Всесоюзный</t>
  </si>
  <si>
    <t>МС с 1 по 15 место</t>
  </si>
  <si>
    <t>КМС 123% 1:54:39</t>
  </si>
  <si>
    <t>Левичева Надежда</t>
  </si>
  <si>
    <t>Корягина Екатерина</t>
  </si>
  <si>
    <t>Намовир Ирина</t>
  </si>
  <si>
    <t>Березина Светлана</t>
  </si>
  <si>
    <t>Звирбуле Дайна</t>
  </si>
  <si>
    <t>Длина дистанции: 7,6км</t>
  </si>
  <si>
    <t>Количество КП: 10</t>
  </si>
  <si>
    <t>Группа А Ж21</t>
  </si>
  <si>
    <t>Степанова Ирина</t>
  </si>
  <si>
    <t>Йохансен Рию</t>
  </si>
  <si>
    <t>Оша Ивета</t>
  </si>
  <si>
    <t>Павлова Елена</t>
  </si>
  <si>
    <t>Багочунене Иоланта</t>
  </si>
  <si>
    <t>Романюк Татьяна</t>
  </si>
  <si>
    <t>Поганкова Татьяна</t>
  </si>
  <si>
    <t>Богданова Любовь</t>
  </si>
  <si>
    <t>Киудоров Анне</t>
  </si>
  <si>
    <t>Иванова Ирина</t>
  </si>
  <si>
    <t>Барсукова Татьяна</t>
  </si>
  <si>
    <t>Корзинова Ольга</t>
  </si>
  <si>
    <t>Романовска Лилия</t>
  </si>
  <si>
    <t>Икамайте Виргиния</t>
  </si>
  <si>
    <t>Зукуле Алида</t>
  </si>
  <si>
    <t>Габране Сармите</t>
  </si>
  <si>
    <t>Вилькялене Дануте</t>
  </si>
  <si>
    <t>Вершинскене Нийоле</t>
  </si>
  <si>
    <t>Кириченко Елена</t>
  </si>
  <si>
    <t>Бандзайтите Гехре</t>
  </si>
  <si>
    <t>Каазик Керсти</t>
  </si>
  <si>
    <t>173</t>
  </si>
  <si>
    <t>25</t>
  </si>
  <si>
    <t>169</t>
  </si>
  <si>
    <t>26</t>
  </si>
  <si>
    <t>141</t>
  </si>
  <si>
    <t>27</t>
  </si>
  <si>
    <t>105</t>
  </si>
  <si>
    <t>29</t>
  </si>
  <si>
    <t>30</t>
  </si>
  <si>
    <t>155</t>
  </si>
  <si>
    <t>31</t>
  </si>
  <si>
    <t>107</t>
  </si>
  <si>
    <t>32</t>
  </si>
  <si>
    <t>189</t>
  </si>
  <si>
    <t>115</t>
  </si>
  <si>
    <t>34</t>
  </si>
  <si>
    <t>135</t>
  </si>
  <si>
    <t>35</t>
  </si>
  <si>
    <t>149</t>
  </si>
  <si>
    <t>36</t>
  </si>
  <si>
    <t>133</t>
  </si>
  <si>
    <t>37</t>
  </si>
  <si>
    <t>109</t>
  </si>
  <si>
    <t>38</t>
  </si>
  <si>
    <t>175</t>
  </si>
  <si>
    <t>129</t>
  </si>
  <si>
    <t>40</t>
  </si>
  <si>
    <t>147</t>
  </si>
  <si>
    <t>41</t>
  </si>
  <si>
    <t>42</t>
  </si>
  <si>
    <t>44</t>
  </si>
  <si>
    <t>45</t>
  </si>
  <si>
    <t>Ушакова Наталья</t>
  </si>
  <si>
    <t>Лукьяненко Людмила</t>
  </si>
  <si>
    <t>Рекайте Дана</t>
  </si>
  <si>
    <t>Гришанова Людмила</t>
  </si>
  <si>
    <t>Конюхова Маргарита</t>
  </si>
  <si>
    <t>Давыдова Светлана</t>
  </si>
  <si>
    <t>Тамарина Ольга</t>
  </si>
  <si>
    <t>Бортновская Тамара</t>
  </si>
  <si>
    <t>Никитенко Ольга</t>
  </si>
  <si>
    <t>Мирзамухаметова Марьяна</t>
  </si>
  <si>
    <t>Лалыко Алла</t>
  </si>
  <si>
    <t>Мулевская Галина</t>
  </si>
  <si>
    <t>Бейльманн Маре</t>
  </si>
  <si>
    <t>Денисенко Тамара</t>
  </si>
  <si>
    <t>Куркина Ирина</t>
  </si>
  <si>
    <t>Замчина Татьяна</t>
  </si>
  <si>
    <t>Блинова Ольга</t>
  </si>
  <si>
    <t>Кропинова Ирина</t>
  </si>
  <si>
    <t>Куприненко Людмила</t>
  </si>
  <si>
    <t>Вийрманн Марье</t>
  </si>
  <si>
    <t>Андрейченко Галина</t>
  </si>
  <si>
    <t>Бутылицына Светлана</t>
  </si>
  <si>
    <t>Волкова Тамара</t>
  </si>
  <si>
    <t>Ранг соревнований 1000 баллов</t>
  </si>
  <si>
    <t>КМС 126% 1:21:24</t>
  </si>
  <si>
    <t>Юмарик Индрек</t>
  </si>
  <si>
    <t>227</t>
  </si>
  <si>
    <t>235</t>
  </si>
  <si>
    <t>Луконин Андрей</t>
  </si>
  <si>
    <t>209</t>
  </si>
  <si>
    <t>225</t>
  </si>
  <si>
    <t>231</t>
  </si>
  <si>
    <t>Ткаченко Андрей</t>
  </si>
  <si>
    <t>211</t>
  </si>
  <si>
    <t>Тюленев Александр</t>
  </si>
  <si>
    <t>201</t>
  </si>
  <si>
    <t>213</t>
  </si>
  <si>
    <t>207</t>
  </si>
  <si>
    <t>Крылов Анатолий</t>
  </si>
  <si>
    <t>229</t>
  </si>
  <si>
    <t>221</t>
  </si>
  <si>
    <t>Вальченко Олег</t>
  </si>
  <si>
    <t>217</t>
  </si>
  <si>
    <t>239</t>
  </si>
  <si>
    <t>237</t>
  </si>
  <si>
    <t>Демин Олег</t>
  </si>
  <si>
    <t>203</t>
  </si>
  <si>
    <t>Сидоренко Иван</t>
  </si>
  <si>
    <t>223</t>
  </si>
  <si>
    <t>233</t>
  </si>
  <si>
    <t>219</t>
  </si>
  <si>
    <t>Ранг соревнований 300 баллов</t>
  </si>
  <si>
    <t>Длина дистанции: 8,6км</t>
  </si>
  <si>
    <t>Начальник дистанции: сIк Шуров А.</t>
  </si>
  <si>
    <t>Группа А М17</t>
  </si>
  <si>
    <t>Никитин Алексей</t>
  </si>
  <si>
    <t>Жиловас Дэвис</t>
  </si>
  <si>
    <t>Алькявичус Арвидас</t>
  </si>
  <si>
    <t>Кротков Александр</t>
  </si>
  <si>
    <t>Аскинази Максим</t>
  </si>
  <si>
    <t>Мегнис Модрис</t>
  </si>
  <si>
    <t>Кэерберг Эрик</t>
  </si>
  <si>
    <t>Пыхтин Алексей</t>
  </si>
  <si>
    <t>Сочнев Олег</t>
  </si>
  <si>
    <t>Крашеница Александр</t>
  </si>
  <si>
    <t>Киркис Нормандс</t>
  </si>
  <si>
    <t>Алексеенок Алексей</t>
  </si>
  <si>
    <t>КМС 108% 1:16:31</t>
  </si>
  <si>
    <t>I 123% 1:27:57</t>
  </si>
  <si>
    <t>Тимма Даце</t>
  </si>
  <si>
    <t>259</t>
  </si>
  <si>
    <t>271</t>
  </si>
  <si>
    <t>Василенко Татьяна</t>
  </si>
  <si>
    <t>Красноборова Марина</t>
  </si>
  <si>
    <t>261</t>
  </si>
  <si>
    <t>Глазова Татьяна</t>
  </si>
  <si>
    <t>241</t>
  </si>
  <si>
    <t>Малыгина Надежда</t>
  </si>
  <si>
    <t>263</t>
  </si>
  <si>
    <t>279</t>
  </si>
  <si>
    <t>247</t>
  </si>
  <si>
    <t>Коба Елена</t>
  </si>
  <si>
    <t>251</t>
  </si>
  <si>
    <t>Борзякова Наталья</t>
  </si>
  <si>
    <t>277</t>
  </si>
  <si>
    <t>Базанова Татьяна</t>
  </si>
  <si>
    <t>273</t>
  </si>
  <si>
    <t>267</t>
  </si>
  <si>
    <t>269</t>
  </si>
  <si>
    <t>Кишонайте Ирина</t>
  </si>
  <si>
    <t>245</t>
  </si>
  <si>
    <t>Тамашауска Анита</t>
  </si>
  <si>
    <t>243</t>
  </si>
  <si>
    <t>253</t>
  </si>
  <si>
    <t>Крылова Галина</t>
  </si>
  <si>
    <t>249</t>
  </si>
  <si>
    <t>Аптекарь Елена</t>
  </si>
  <si>
    <t>257</t>
  </si>
  <si>
    <t>Парамыгина Светлана</t>
  </si>
  <si>
    <t>Длина дистанции: 5,3км</t>
  </si>
  <si>
    <t>Количество КП: 6</t>
  </si>
  <si>
    <t>Начальник дистанции: сIк Лузин Н.</t>
  </si>
  <si>
    <t>Группа А Ж17</t>
  </si>
  <si>
    <t>Анашова Иоланта</t>
  </si>
  <si>
    <t>Телесань Наталья</t>
  </si>
  <si>
    <t>Валдмане Вита</t>
  </si>
  <si>
    <t>Керем Меели</t>
  </si>
  <si>
    <t>Алецкая Наталья</t>
  </si>
  <si>
    <t>Лахтметс Мари</t>
  </si>
  <si>
    <t>Изотова Ирина</t>
  </si>
  <si>
    <t>Бердникова Наталья</t>
  </si>
  <si>
    <t>КМС 108% 0:51:20</t>
  </si>
  <si>
    <t>I 123% 0:58:25</t>
  </si>
  <si>
    <t>Фамилия, имя участника</t>
  </si>
  <si>
    <t>Квалификация</t>
  </si>
  <si>
    <t>Время на этапе</t>
  </si>
  <si>
    <t>Время команды</t>
  </si>
  <si>
    <t>Выполненный разряд</t>
  </si>
  <si>
    <t>Ярвеоя Николай</t>
  </si>
  <si>
    <t>Таса Иоханнес</t>
  </si>
  <si>
    <t>Пирктиньш Андис</t>
  </si>
  <si>
    <t>Душкте Гунарс</t>
  </si>
  <si>
    <t>Кивпениекс Андрис</t>
  </si>
  <si>
    <t>результатов соревнований по эстафете с ориентированием</t>
  </si>
  <si>
    <t>Длина дистанции: 10,6 + 10,4 + 10,4 + 10,2 км</t>
  </si>
  <si>
    <t>Количество КП: 18 + 18 + 18 + 18</t>
  </si>
  <si>
    <t>Контрольное время на этапе 2 часа</t>
  </si>
  <si>
    <t>Начальник дистанции: СРК Трунов В.В., СРК Коржов П.А., СРК Черных Ю.В.</t>
  </si>
  <si>
    <t>27 августа 1982 года</t>
  </si>
  <si>
    <t>снят</t>
  </si>
  <si>
    <t>не стартовал</t>
  </si>
  <si>
    <t>снята</t>
  </si>
  <si>
    <t>Ранг соревнований 500 баллов</t>
  </si>
  <si>
    <t>МС 1-3 место</t>
  </si>
  <si>
    <t>КМС 117% 5:15:14</t>
  </si>
  <si>
    <t>Длина дистанции: 6,0 + 5,8 + 5,8 + 5,4 км</t>
  </si>
  <si>
    <t>Количество КП: 11 + 11 + 11 + 11</t>
  </si>
  <si>
    <t>Начальник дистанции: СРК Афанасьев Л.Г., СРК Голованов В.В.</t>
  </si>
  <si>
    <t>КМС 117% 4:16:20</t>
  </si>
  <si>
    <t>п. 5.1.6</t>
  </si>
  <si>
    <t>Ранг соревнований 180 баллов</t>
  </si>
  <si>
    <t>КМС 102% 1:37:43</t>
  </si>
  <si>
    <t>Длина дистанции:4,6 + 4,4 км</t>
  </si>
  <si>
    <t>Количество КП: 9 + 9</t>
  </si>
  <si>
    <t>Начальник дистанции: СРК Афанасьев Л.Г., СРК Коржов П.</t>
  </si>
  <si>
    <t>КМС 102% 1:44:04</t>
  </si>
  <si>
    <t>Длина дистанции: 6,6 + 6,4 км</t>
  </si>
  <si>
    <t>Количество КП: 11 + 11</t>
  </si>
  <si>
    <t>Начальник дистанции: СРК Голованов В.В., СРК Свирь А.В.</t>
  </si>
  <si>
    <t>Казахская ССР</t>
  </si>
  <si>
    <t>Киргизская ССР</t>
  </si>
  <si>
    <t>Молдавская ССР</t>
  </si>
  <si>
    <t>Грузинская ССР</t>
  </si>
  <si>
    <t>М21</t>
  </si>
  <si>
    <t>Ж21</t>
  </si>
  <si>
    <t>Азербайджанская ССР</t>
  </si>
  <si>
    <t>Группа Б</t>
  </si>
  <si>
    <t>Группа А</t>
  </si>
  <si>
    <t>Группа Б Ж21</t>
  </si>
  <si>
    <t>Длина дистанции: 4,2 + 4,0 км</t>
  </si>
  <si>
    <t>Количество КП: 7 + 7</t>
  </si>
  <si>
    <t>Начальник дистанции: СРК Коржов П.А., СРК Черных Ю.В.</t>
  </si>
  <si>
    <t>сошла</t>
  </si>
  <si>
    <t>Чернышева Наталья</t>
  </si>
  <si>
    <t>Масловец Вера</t>
  </si>
  <si>
    <t>Литвинова Людмила</t>
  </si>
  <si>
    <t>Малиновскя Мария</t>
  </si>
  <si>
    <t>Кастравец Екатерина</t>
  </si>
  <si>
    <t>Валуева Марина</t>
  </si>
  <si>
    <t>Минаева Татьяна</t>
  </si>
  <si>
    <t>Денисова Алла</t>
  </si>
  <si>
    <t>Саакян Галина</t>
  </si>
  <si>
    <t>Тасоева Елена</t>
  </si>
  <si>
    <t>Длина дистанции: 6,3 + 6,1 км</t>
  </si>
  <si>
    <t>Количество КП: 12 + 12</t>
  </si>
  <si>
    <t>Начальник дистанции: СРК Трунов В.В, СРК Гурьев С.П.</t>
  </si>
  <si>
    <t>Группа Б М21</t>
  </si>
  <si>
    <t>Узбекская ССР</t>
  </si>
  <si>
    <t>Тельнов Владимир</t>
  </si>
  <si>
    <t>Новиков Александр</t>
  </si>
  <si>
    <t>Балмуш Георгий</t>
  </si>
  <si>
    <t>Нифонтьев Юрий</t>
  </si>
  <si>
    <t>Резниченко Андрей</t>
  </si>
  <si>
    <t>Масловец Сергей</t>
  </si>
  <si>
    <t>Смольянинов Андрей</t>
  </si>
  <si>
    <t>Ониани Алверды</t>
  </si>
  <si>
    <t>Шатохин Виктор</t>
  </si>
  <si>
    <t>Тинченко Юрий</t>
  </si>
  <si>
    <t>Ткачук Александр</t>
  </si>
  <si>
    <t>1 участник</t>
  </si>
  <si>
    <t>снят п. 4.6.4.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</si>
</sst>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F400]h:mm:ss\ AM/PM"/>
  </numFmts>
  <fonts count="3" x14ac:knownFonts="1">
    <font>
      <sz val="10"/>
      <name val="Arial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2" fontId="1" fillId="0" borderId="10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21" fontId="1" fillId="0" borderId="10" xfId="0" applyNumberFormat="1" applyFont="1" applyBorder="1" applyAlignment="1">
      <alignment horizontal="center" vertical="center"/>
    </xf>
    <xf numFmtId="0" fontId="1" fillId="0" borderId="10" xfId="0" applyFont="1" applyBorder="1"/>
    <xf numFmtId="46" fontId="1" fillId="0" borderId="10" xfId="0" applyNumberFormat="1" applyFont="1" applyBorder="1" applyAlignment="1">
      <alignment horizontal="center" vertical="center"/>
    </xf>
    <xf numFmtId="165" fontId="1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horizontal="center"/>
    </xf>
    <xf numFmtId="165" fontId="1" fillId="0" borderId="10" xfId="0" applyNumberFormat="1" applyFont="1" applyBorder="1" applyAlignment="1">
      <alignment horizontal="center"/>
    </xf>
    <xf numFmtId="21" fontId="1" fillId="0" borderId="10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21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21" fontId="1" fillId="0" borderId="9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21" fontId="1" fillId="0" borderId="8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4" xfId="0" applyBorder="1"/>
    <xf numFmtId="0" fontId="0" fillId="0" borderId="9" xfId="0" applyBorder="1"/>
    <xf numFmtId="2" fontId="1" fillId="0" borderId="9" xfId="0" applyNumberFormat="1" applyFont="1" applyBorder="1" applyAlignment="1">
      <alignment horizontal="center" vertical="center"/>
    </xf>
    <xf numFmtId="0" fontId="0" fillId="0" borderId="8" xfId="0" applyBorder="1"/>
    <xf numFmtId="2" fontId="1" fillId="0" borderId="8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" fillId="0" borderId="9" xfId="0" applyFont="1" applyBorder="1"/>
    <xf numFmtId="0" fontId="1" fillId="0" borderId="4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left" vertical="center"/>
    </xf>
    <xf numFmtId="0" fontId="1" fillId="0" borderId="0" xfId="0" applyNumberFormat="1" applyFont="1" applyAlignment="1">
      <alignment horizontal="center" vertical="center"/>
    </xf>
    <xf numFmtId="0" fontId="2" fillId="0" borderId="16" xfId="0" applyNumberFormat="1" applyFont="1" applyBorder="1" applyAlignment="1">
      <alignment horizontal="center" vertical="center" wrapText="1"/>
    </xf>
    <xf numFmtId="0" fontId="1" fillId="0" borderId="4" xfId="0" applyNumberFormat="1" applyFont="1" applyBorder="1" applyAlignment="1">
      <alignment horizontal="center" vertical="center"/>
    </xf>
    <xf numFmtId="0" fontId="1" fillId="0" borderId="9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8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M27"/>
  <sheetViews>
    <sheetView workbookViewId="0">
      <selection activeCell="A10" sqref="A10"/>
    </sheetView>
  </sheetViews>
  <sheetFormatPr defaultRowHeight="13.2" x14ac:dyDescent="0.25"/>
  <cols>
    <col min="1" max="1" width="7.33203125" style="2" customWidth="1"/>
    <col min="2" max="2" width="19.77734375" style="2" customWidth="1"/>
    <col min="3" max="10" width="7" style="2" customWidth="1"/>
    <col min="11" max="11" width="8.6640625" style="2" customWidth="1"/>
    <col min="12" max="12" width="6.6640625" style="2" customWidth="1"/>
    <col min="13" max="13" width="13" style="2" customWidth="1"/>
    <col min="14" max="16384" width="8.88671875" style="2"/>
  </cols>
  <sheetData>
    <row r="1" spans="1:13" x14ac:dyDescent="0.25">
      <c r="A1" s="2" t="s">
        <v>13</v>
      </c>
    </row>
    <row r="2" spans="1:13" x14ac:dyDescent="0.25">
      <c r="A2" s="2" t="s">
        <v>14</v>
      </c>
    </row>
    <row r="4" spans="1:13" x14ac:dyDescent="0.25">
      <c r="A4" s="2" t="s">
        <v>0</v>
      </c>
    </row>
    <row r="6" spans="1:13" x14ac:dyDescent="0.25">
      <c r="A6" s="2" t="s">
        <v>15</v>
      </c>
    </row>
    <row r="7" spans="1:13" x14ac:dyDescent="0.25">
      <c r="A7" s="2" t="s">
        <v>16</v>
      </c>
    </row>
    <row r="9" spans="1:13" x14ac:dyDescent="0.25">
      <c r="A9" s="2" t="s">
        <v>353</v>
      </c>
    </row>
    <row r="11" spans="1:13" ht="19.8" customHeight="1" x14ac:dyDescent="0.25">
      <c r="A11" s="55" t="s">
        <v>17</v>
      </c>
      <c r="B11" s="55" t="s">
        <v>1</v>
      </c>
      <c r="C11" s="55" t="s">
        <v>18</v>
      </c>
      <c r="D11" s="55"/>
      <c r="E11" s="55"/>
      <c r="F11" s="55"/>
      <c r="G11" s="55"/>
      <c r="H11" s="55"/>
      <c r="I11" s="55"/>
      <c r="J11" s="55"/>
      <c r="K11" s="55" t="s">
        <v>21</v>
      </c>
      <c r="L11" s="55" t="s">
        <v>22</v>
      </c>
      <c r="M11" s="55" t="s">
        <v>23</v>
      </c>
    </row>
    <row r="12" spans="1:13" ht="19.8" customHeight="1" x14ac:dyDescent="0.25">
      <c r="A12" s="55"/>
      <c r="B12" s="55"/>
      <c r="C12" s="55" t="s">
        <v>19</v>
      </c>
      <c r="D12" s="55"/>
      <c r="E12" s="55"/>
      <c r="F12" s="55"/>
      <c r="G12" s="55" t="s">
        <v>20</v>
      </c>
      <c r="H12" s="55"/>
      <c r="I12" s="55"/>
      <c r="J12" s="55"/>
      <c r="K12" s="55"/>
      <c r="L12" s="55"/>
      <c r="M12" s="55"/>
    </row>
    <row r="13" spans="1:13" ht="21" customHeight="1" x14ac:dyDescent="0.25">
      <c r="A13" s="55"/>
      <c r="B13" s="55"/>
      <c r="C13" s="4" t="s">
        <v>2</v>
      </c>
      <c r="D13" s="4" t="s">
        <v>3</v>
      </c>
      <c r="E13" s="4" t="s">
        <v>5</v>
      </c>
      <c r="F13" s="4" t="s">
        <v>4</v>
      </c>
      <c r="G13" s="4" t="s">
        <v>2</v>
      </c>
      <c r="H13" s="4" t="s">
        <v>3</v>
      </c>
      <c r="I13" s="4" t="s">
        <v>5</v>
      </c>
      <c r="J13" s="4" t="s">
        <v>4</v>
      </c>
      <c r="K13" s="55"/>
      <c r="L13" s="55"/>
      <c r="M13" s="55"/>
    </row>
    <row r="14" spans="1:13" x14ac:dyDescent="0.25">
      <c r="A14" s="5">
        <v>1</v>
      </c>
      <c r="B14" s="6" t="s">
        <v>11</v>
      </c>
      <c r="C14" s="5">
        <v>1</v>
      </c>
      <c r="D14" s="5">
        <v>5</v>
      </c>
      <c r="E14" s="7">
        <v>0.75</v>
      </c>
      <c r="F14" s="7">
        <v>1.25</v>
      </c>
      <c r="G14" s="5">
        <v>1</v>
      </c>
      <c r="H14" s="5">
        <v>2</v>
      </c>
      <c r="I14" s="8">
        <v>1</v>
      </c>
      <c r="J14" s="8">
        <v>1.5</v>
      </c>
      <c r="K14" s="7">
        <f>SUM(C14:J14)</f>
        <v>13.5</v>
      </c>
      <c r="L14" s="5">
        <v>1</v>
      </c>
      <c r="M14" s="6"/>
    </row>
    <row r="15" spans="1:13" x14ac:dyDescent="0.25">
      <c r="A15" s="5">
        <v>2</v>
      </c>
      <c r="B15" s="6" t="s">
        <v>12</v>
      </c>
      <c r="C15" s="5">
        <v>3</v>
      </c>
      <c r="D15" s="5">
        <v>1</v>
      </c>
      <c r="E15" s="7">
        <v>1.5</v>
      </c>
      <c r="F15" s="7">
        <v>0.5</v>
      </c>
      <c r="G15" s="5">
        <v>2</v>
      </c>
      <c r="H15" s="5">
        <v>6</v>
      </c>
      <c r="I15" s="8">
        <v>2</v>
      </c>
      <c r="J15" s="8">
        <v>3</v>
      </c>
      <c r="K15" s="7">
        <f t="shared" ref="K15:K20" si="0">SUM(C15:J15)</f>
        <v>19</v>
      </c>
      <c r="L15" s="5">
        <v>2</v>
      </c>
      <c r="M15" s="6"/>
    </row>
    <row r="16" spans="1:13" x14ac:dyDescent="0.25">
      <c r="A16" s="5">
        <v>3</v>
      </c>
      <c r="B16" s="6" t="s">
        <v>7</v>
      </c>
      <c r="C16" s="5">
        <v>2</v>
      </c>
      <c r="D16" s="5">
        <v>2</v>
      </c>
      <c r="E16" s="7">
        <v>1.25</v>
      </c>
      <c r="F16" s="7">
        <v>1</v>
      </c>
      <c r="G16" s="5">
        <v>7</v>
      </c>
      <c r="H16" s="5">
        <v>4</v>
      </c>
      <c r="I16" s="8">
        <v>0.5</v>
      </c>
      <c r="J16" s="8">
        <v>3.5</v>
      </c>
      <c r="K16" s="7">
        <f t="shared" si="0"/>
        <v>21.25</v>
      </c>
      <c r="L16" s="5">
        <v>3</v>
      </c>
      <c r="M16" s="6"/>
    </row>
    <row r="17" spans="1:13" x14ac:dyDescent="0.25">
      <c r="A17" s="5">
        <v>4</v>
      </c>
      <c r="B17" s="6" t="s">
        <v>28</v>
      </c>
      <c r="C17" s="5">
        <v>4</v>
      </c>
      <c r="D17" s="5">
        <v>4</v>
      </c>
      <c r="E17" s="7">
        <v>1</v>
      </c>
      <c r="F17" s="7">
        <v>2.25</v>
      </c>
      <c r="G17" s="5">
        <v>5</v>
      </c>
      <c r="H17" s="5">
        <v>7</v>
      </c>
      <c r="I17" s="8">
        <v>1.5</v>
      </c>
      <c r="J17" s="8">
        <v>0.5</v>
      </c>
      <c r="K17" s="7">
        <f t="shared" si="0"/>
        <v>25.25</v>
      </c>
      <c r="L17" s="5">
        <v>4</v>
      </c>
      <c r="M17" s="6"/>
    </row>
    <row r="18" spans="1:13" x14ac:dyDescent="0.25">
      <c r="A18" s="5">
        <v>5</v>
      </c>
      <c r="B18" s="6" t="s">
        <v>26</v>
      </c>
      <c r="C18" s="5">
        <v>5</v>
      </c>
      <c r="D18" s="5">
        <v>6</v>
      </c>
      <c r="E18" s="7">
        <v>2.25</v>
      </c>
      <c r="F18" s="7">
        <v>1.5</v>
      </c>
      <c r="G18" s="5">
        <v>4</v>
      </c>
      <c r="H18" s="5">
        <v>3</v>
      </c>
      <c r="I18" s="8">
        <v>2.5</v>
      </c>
      <c r="J18" s="8">
        <v>2.5</v>
      </c>
      <c r="K18" s="7">
        <f t="shared" si="0"/>
        <v>26.75</v>
      </c>
      <c r="L18" s="5">
        <v>5</v>
      </c>
      <c r="M18" s="6"/>
    </row>
    <row r="19" spans="1:13" x14ac:dyDescent="0.25">
      <c r="A19" s="5">
        <v>6</v>
      </c>
      <c r="B19" s="6" t="s">
        <v>27</v>
      </c>
      <c r="C19" s="5">
        <v>6</v>
      </c>
      <c r="D19" s="5">
        <v>7</v>
      </c>
      <c r="E19" s="7">
        <v>0.25</v>
      </c>
      <c r="F19" s="7">
        <v>1.75</v>
      </c>
      <c r="G19" s="5">
        <v>3</v>
      </c>
      <c r="H19" s="5">
        <v>5</v>
      </c>
      <c r="I19" s="8">
        <v>3</v>
      </c>
      <c r="J19" s="8">
        <v>1</v>
      </c>
      <c r="K19" s="7">
        <f t="shared" si="0"/>
        <v>27</v>
      </c>
      <c r="L19" s="5">
        <v>6</v>
      </c>
      <c r="M19" s="6"/>
    </row>
    <row r="20" spans="1:13" x14ac:dyDescent="0.25">
      <c r="A20" s="5">
        <v>7</v>
      </c>
      <c r="B20" s="6" t="s">
        <v>9</v>
      </c>
      <c r="C20" s="5">
        <v>8</v>
      </c>
      <c r="D20" s="5">
        <v>8</v>
      </c>
      <c r="E20" s="7">
        <v>1.75</v>
      </c>
      <c r="F20" s="7">
        <v>0.5</v>
      </c>
      <c r="G20" s="5">
        <v>6</v>
      </c>
      <c r="H20" s="5">
        <v>9</v>
      </c>
      <c r="I20" s="8">
        <v>4</v>
      </c>
      <c r="J20" s="8">
        <v>2</v>
      </c>
      <c r="K20" s="7">
        <f t="shared" si="0"/>
        <v>39.25</v>
      </c>
      <c r="L20" s="5">
        <v>7</v>
      </c>
      <c r="M20" s="6"/>
    </row>
    <row r="21" spans="1:13" x14ac:dyDescent="0.25">
      <c r="A21" s="5">
        <v>8</v>
      </c>
      <c r="B21" s="6" t="s">
        <v>10</v>
      </c>
      <c r="C21" s="5">
        <v>9</v>
      </c>
      <c r="D21" s="5">
        <v>3</v>
      </c>
      <c r="E21" s="7">
        <v>0.5</v>
      </c>
      <c r="F21" s="7">
        <v>0.25</v>
      </c>
      <c r="G21" s="5">
        <v>8</v>
      </c>
      <c r="H21" s="5">
        <v>1</v>
      </c>
      <c r="I21" s="8">
        <v>3.5</v>
      </c>
      <c r="J21" s="8" t="s">
        <v>24</v>
      </c>
      <c r="K21" s="7" t="s">
        <v>24</v>
      </c>
      <c r="L21" s="5" t="s">
        <v>24</v>
      </c>
      <c r="M21" s="6"/>
    </row>
    <row r="22" spans="1:13" x14ac:dyDescent="0.25">
      <c r="A22" s="5">
        <v>9</v>
      </c>
      <c r="B22" s="6" t="s">
        <v>29</v>
      </c>
      <c r="C22" s="5">
        <v>7</v>
      </c>
      <c r="D22" s="5">
        <v>9</v>
      </c>
      <c r="E22" s="7">
        <v>2</v>
      </c>
      <c r="F22" s="7">
        <v>2</v>
      </c>
      <c r="G22" s="5" t="s">
        <v>24</v>
      </c>
      <c r="H22" s="5">
        <v>8</v>
      </c>
      <c r="I22" s="8">
        <v>4.5</v>
      </c>
      <c r="J22" s="8">
        <v>4</v>
      </c>
      <c r="K22" s="7" t="s">
        <v>24</v>
      </c>
      <c r="L22" s="5" t="s">
        <v>24</v>
      </c>
      <c r="M22" s="6"/>
    </row>
    <row r="23" spans="1:13" x14ac:dyDescent="0.25">
      <c r="A23" s="3"/>
    </row>
    <row r="26" spans="1:13" x14ac:dyDescent="0.25">
      <c r="B26" s="2" t="s">
        <v>30</v>
      </c>
      <c r="C26" s="2" t="s">
        <v>32</v>
      </c>
    </row>
    <row r="27" spans="1:13" x14ac:dyDescent="0.25">
      <c r="B27" s="2" t="s">
        <v>31</v>
      </c>
      <c r="C27" s="2" t="s">
        <v>33</v>
      </c>
    </row>
  </sheetData>
  <mergeCells count="8">
    <mergeCell ref="L11:L13"/>
    <mergeCell ref="M11:M13"/>
    <mergeCell ref="A11:A13"/>
    <mergeCell ref="B11:B13"/>
    <mergeCell ref="C11:J11"/>
    <mergeCell ref="G12:J12"/>
    <mergeCell ref="K11:K13"/>
    <mergeCell ref="C12:F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F24"/>
  <sheetViews>
    <sheetView workbookViewId="0">
      <selection activeCell="E25" sqref="E25"/>
    </sheetView>
  </sheetViews>
  <sheetFormatPr defaultRowHeight="13.2" x14ac:dyDescent="0.25"/>
  <cols>
    <col min="1" max="1" width="6.77734375" style="1" customWidth="1"/>
    <col min="2" max="2" width="20.88671875" style="1" customWidth="1"/>
    <col min="3" max="3" width="20.44140625" style="1" customWidth="1"/>
    <col min="4" max="5" width="9.44140625" style="1" customWidth="1"/>
    <col min="6" max="6" width="12.5546875" style="1" customWidth="1"/>
    <col min="7" max="7" width="23.109375" style="1"/>
    <col min="8" max="8" width="11.44140625" style="1"/>
    <col min="9" max="9" width="13.44140625" style="1"/>
    <col min="10" max="10" width="28" style="1"/>
    <col min="11" max="11" width="11" style="1"/>
    <col min="12" max="12" width="10" style="1"/>
    <col min="13" max="13" width="17.33203125" style="1"/>
    <col min="14" max="16384" width="8.88671875" style="1"/>
  </cols>
  <sheetData>
    <row r="1" spans="1:6" x14ac:dyDescent="0.25">
      <c r="A1" s="2" t="s">
        <v>13</v>
      </c>
    </row>
    <row r="2" spans="1:6" x14ac:dyDescent="0.25">
      <c r="A2" s="2" t="s">
        <v>14</v>
      </c>
    </row>
    <row r="3" spans="1:6" x14ac:dyDescent="0.25">
      <c r="A3" s="2"/>
    </row>
    <row r="4" spans="1:6" x14ac:dyDescent="0.25">
      <c r="A4" s="2" t="s">
        <v>34</v>
      </c>
    </row>
    <row r="5" spans="1:6" x14ac:dyDescent="0.25">
      <c r="A5" s="2" t="s">
        <v>35</v>
      </c>
    </row>
    <row r="6" spans="1:6" x14ac:dyDescent="0.25">
      <c r="A6" s="2" t="s">
        <v>36</v>
      </c>
    </row>
    <row r="7" spans="1:6" x14ac:dyDescent="0.25">
      <c r="A7" s="2" t="s">
        <v>16</v>
      </c>
    </row>
    <row r="9" spans="1:6" x14ac:dyDescent="0.25">
      <c r="A9" s="1" t="s">
        <v>37</v>
      </c>
    </row>
    <row r="12" spans="1:6" ht="28.2" customHeight="1" x14ac:dyDescent="0.25">
      <c r="A12" s="4" t="s">
        <v>17</v>
      </c>
      <c r="B12" s="4" t="s">
        <v>1</v>
      </c>
      <c r="C12" s="4" t="s">
        <v>38</v>
      </c>
      <c r="D12" s="4" t="s">
        <v>22</v>
      </c>
      <c r="E12" s="4" t="s">
        <v>39</v>
      </c>
      <c r="F12" s="4" t="s">
        <v>23</v>
      </c>
    </row>
    <row r="13" spans="1:6" x14ac:dyDescent="0.25">
      <c r="A13" s="5">
        <v>1</v>
      </c>
      <c r="B13" s="6" t="s">
        <v>11</v>
      </c>
      <c r="C13" s="10">
        <v>0.28528935185185184</v>
      </c>
      <c r="D13" s="5">
        <v>1</v>
      </c>
      <c r="E13" s="5">
        <v>1</v>
      </c>
      <c r="F13" s="6"/>
    </row>
    <row r="14" spans="1:6" x14ac:dyDescent="0.25">
      <c r="A14" s="5">
        <v>2</v>
      </c>
      <c r="B14" s="6" t="s">
        <v>7</v>
      </c>
      <c r="C14" s="10">
        <v>0.28571759259259261</v>
      </c>
      <c r="D14" s="5">
        <v>2</v>
      </c>
      <c r="E14" s="5">
        <v>2</v>
      </c>
      <c r="F14" s="6"/>
    </row>
    <row r="15" spans="1:6" x14ac:dyDescent="0.25">
      <c r="A15" s="5">
        <v>3</v>
      </c>
      <c r="B15" s="6" t="s">
        <v>12</v>
      </c>
      <c r="C15" s="10">
        <v>0.28662037037037036</v>
      </c>
      <c r="D15" s="5">
        <v>3</v>
      </c>
      <c r="E15" s="5">
        <v>3</v>
      </c>
      <c r="F15" s="6"/>
    </row>
    <row r="16" spans="1:6" x14ac:dyDescent="0.25">
      <c r="A16" s="5">
        <v>4</v>
      </c>
      <c r="B16" s="6" t="s">
        <v>28</v>
      </c>
      <c r="C16" s="10">
        <v>0.29340277777777779</v>
      </c>
      <c r="D16" s="5">
        <v>4</v>
      </c>
      <c r="E16" s="5">
        <v>4</v>
      </c>
      <c r="F16" s="6"/>
    </row>
    <row r="17" spans="1:6" x14ac:dyDescent="0.25">
      <c r="A17" s="5">
        <v>5</v>
      </c>
      <c r="B17" s="6" t="s">
        <v>26</v>
      </c>
      <c r="C17" s="10">
        <v>0.29472222222222222</v>
      </c>
      <c r="D17" s="5">
        <v>5</v>
      </c>
      <c r="E17" s="5">
        <v>5</v>
      </c>
      <c r="F17" s="6"/>
    </row>
    <row r="18" spans="1:6" x14ac:dyDescent="0.25">
      <c r="A18" s="5">
        <v>6</v>
      </c>
      <c r="B18" s="6" t="s">
        <v>27</v>
      </c>
      <c r="C18" s="10">
        <v>0.30761574074074077</v>
      </c>
      <c r="D18" s="5">
        <v>6</v>
      </c>
      <c r="E18" s="5">
        <v>6</v>
      </c>
      <c r="F18" s="6"/>
    </row>
    <row r="19" spans="1:6" x14ac:dyDescent="0.25">
      <c r="A19" s="5">
        <v>7</v>
      </c>
      <c r="B19" s="6" t="s">
        <v>29</v>
      </c>
      <c r="C19" s="10">
        <v>0.31229166666666669</v>
      </c>
      <c r="D19" s="5">
        <v>7</v>
      </c>
      <c r="E19" s="5">
        <v>7</v>
      </c>
      <c r="F19" s="6"/>
    </row>
    <row r="20" spans="1:6" x14ac:dyDescent="0.25">
      <c r="A20" s="5">
        <v>8</v>
      </c>
      <c r="B20" s="6" t="s">
        <v>9</v>
      </c>
      <c r="C20" s="10">
        <v>0.31356481481481485</v>
      </c>
      <c r="D20" s="5">
        <v>8</v>
      </c>
      <c r="E20" s="5">
        <v>8</v>
      </c>
      <c r="F20" s="6"/>
    </row>
    <row r="21" spans="1:6" x14ac:dyDescent="0.25">
      <c r="A21" s="5">
        <v>9</v>
      </c>
      <c r="B21" s="6" t="s">
        <v>10</v>
      </c>
      <c r="C21" s="10">
        <v>0.32013888888888892</v>
      </c>
      <c r="D21" s="5">
        <v>9</v>
      </c>
      <c r="E21" s="5">
        <v>9</v>
      </c>
      <c r="F21" s="6"/>
    </row>
    <row r="23" spans="1:6" x14ac:dyDescent="0.25">
      <c r="B23" s="2" t="s">
        <v>30</v>
      </c>
      <c r="C23" s="2" t="s">
        <v>32</v>
      </c>
      <c r="D23" s="2"/>
    </row>
    <row r="24" spans="1:6" x14ac:dyDescent="0.25">
      <c r="B24" s="2" t="s">
        <v>31</v>
      </c>
      <c r="C24" s="2" t="s">
        <v>33</v>
      </c>
      <c r="D2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H79"/>
  <sheetViews>
    <sheetView workbookViewId="0">
      <selection activeCell="E20" sqref="E20"/>
    </sheetView>
  </sheetViews>
  <sheetFormatPr defaultColWidth="11.6640625" defaultRowHeight="13.2" x14ac:dyDescent="0.25"/>
  <cols>
    <col min="1" max="1" width="9.5546875" style="1" customWidth="1"/>
    <col min="2" max="2" width="22" style="1" customWidth="1"/>
    <col min="3" max="3" width="18.33203125" style="1" customWidth="1"/>
    <col min="4" max="4" width="11.6640625" style="3"/>
    <col min="5" max="5" width="12.5546875" style="3" customWidth="1"/>
    <col min="6" max="7" width="11.6640625" style="3"/>
    <col min="8" max="8" width="16.109375" style="3" customWidth="1"/>
    <col min="9" max="16384" width="11.6640625" style="1"/>
  </cols>
  <sheetData>
    <row r="1" spans="1:1" x14ac:dyDescent="0.25">
      <c r="A1" s="2" t="s">
        <v>13</v>
      </c>
    </row>
    <row r="2" spans="1:1" x14ac:dyDescent="0.25">
      <c r="A2" s="2" t="s">
        <v>14</v>
      </c>
    </row>
    <row r="4" spans="1:1" x14ac:dyDescent="0.25">
      <c r="A4" s="1" t="s">
        <v>44</v>
      </c>
    </row>
    <row r="5" spans="1:1" x14ac:dyDescent="0.25">
      <c r="A5" s="1" t="s">
        <v>41</v>
      </c>
    </row>
    <row r="7" spans="1:1" x14ac:dyDescent="0.25">
      <c r="A7" s="1" t="s">
        <v>75</v>
      </c>
    </row>
    <row r="8" spans="1:1" x14ac:dyDescent="0.25">
      <c r="A8" s="1" t="s">
        <v>76</v>
      </c>
    </row>
    <row r="9" spans="1:1" x14ac:dyDescent="0.25">
      <c r="A9" s="1" t="s">
        <v>77</v>
      </c>
    </row>
    <row r="11" spans="1:1" x14ac:dyDescent="0.25">
      <c r="A11" s="1" t="s">
        <v>78</v>
      </c>
    </row>
    <row r="13" spans="1:1" x14ac:dyDescent="0.25">
      <c r="A13" s="2" t="s">
        <v>36</v>
      </c>
    </row>
    <row r="14" spans="1:1" x14ac:dyDescent="0.25">
      <c r="A14" s="2" t="s">
        <v>16</v>
      </c>
    </row>
    <row r="16" spans="1:1" x14ac:dyDescent="0.25">
      <c r="A16" s="1" t="s">
        <v>79</v>
      </c>
    </row>
    <row r="18" spans="1:8" ht="26.4" x14ac:dyDescent="0.25">
      <c r="A18" s="4" t="s">
        <v>17</v>
      </c>
      <c r="B18" s="4" t="s">
        <v>80</v>
      </c>
      <c r="C18" s="4" t="s">
        <v>1</v>
      </c>
      <c r="D18" s="4" t="s">
        <v>81</v>
      </c>
      <c r="E18" s="4" t="s">
        <v>38</v>
      </c>
      <c r="F18" s="4" t="s">
        <v>22</v>
      </c>
      <c r="G18" s="4" t="s">
        <v>82</v>
      </c>
      <c r="H18" s="4" t="s">
        <v>83</v>
      </c>
    </row>
    <row r="19" spans="1:8" x14ac:dyDescent="0.25">
      <c r="A19" s="5">
        <v>1</v>
      </c>
      <c r="B19" s="11" t="s">
        <v>45</v>
      </c>
      <c r="C19" s="11" t="s">
        <v>7</v>
      </c>
      <c r="D19" s="5" t="s">
        <v>46</v>
      </c>
      <c r="E19" s="10">
        <v>6.4733796296296289E-2</v>
      </c>
      <c r="F19" s="5">
        <v>1</v>
      </c>
      <c r="G19" s="5" t="s">
        <v>49</v>
      </c>
      <c r="H19" s="5" t="s">
        <v>49</v>
      </c>
    </row>
    <row r="20" spans="1:8" x14ac:dyDescent="0.25">
      <c r="A20" s="5">
        <v>2</v>
      </c>
      <c r="B20" s="11" t="s">
        <v>47</v>
      </c>
      <c r="C20" s="11" t="s">
        <v>7</v>
      </c>
      <c r="D20" s="5" t="s">
        <v>48</v>
      </c>
      <c r="E20" s="12">
        <v>6.6724537037037041E-2</v>
      </c>
      <c r="F20" s="5">
        <v>2</v>
      </c>
      <c r="G20" s="5" t="s">
        <v>49</v>
      </c>
      <c r="H20" s="5" t="s">
        <v>49</v>
      </c>
    </row>
    <row r="21" spans="1:8" x14ac:dyDescent="0.25">
      <c r="A21" s="5">
        <v>3</v>
      </c>
      <c r="B21" s="11" t="s">
        <v>86</v>
      </c>
      <c r="C21" s="11" t="s">
        <v>11</v>
      </c>
      <c r="D21" s="5" t="s">
        <v>50</v>
      </c>
      <c r="E21" s="10">
        <v>6.8252314814814807E-2</v>
      </c>
      <c r="F21" s="5">
        <v>3</v>
      </c>
      <c r="G21" s="5" t="s">
        <v>49</v>
      </c>
      <c r="H21" s="5" t="s">
        <v>49</v>
      </c>
    </row>
    <row r="22" spans="1:8" x14ac:dyDescent="0.25">
      <c r="A22" s="5">
        <v>4</v>
      </c>
      <c r="B22" s="11" t="s">
        <v>87</v>
      </c>
      <c r="C22" s="11" t="s">
        <v>12</v>
      </c>
      <c r="D22" s="5" t="s">
        <v>51</v>
      </c>
      <c r="E22" s="10">
        <v>6.8923611111111116E-2</v>
      </c>
      <c r="F22" s="5">
        <v>4</v>
      </c>
      <c r="G22" s="5" t="s">
        <v>49</v>
      </c>
      <c r="H22" s="5" t="s">
        <v>49</v>
      </c>
    </row>
    <row r="23" spans="1:8" x14ac:dyDescent="0.25">
      <c r="A23" s="5">
        <v>5</v>
      </c>
      <c r="B23" s="11" t="s">
        <v>52</v>
      </c>
      <c r="C23" s="11" t="s">
        <v>11</v>
      </c>
      <c r="D23" s="5" t="s">
        <v>53</v>
      </c>
      <c r="E23" s="10">
        <v>6.9641203703703705E-2</v>
      </c>
      <c r="F23" s="5">
        <v>5</v>
      </c>
      <c r="G23" s="5" t="s">
        <v>49</v>
      </c>
      <c r="H23" s="5" t="s">
        <v>49</v>
      </c>
    </row>
    <row r="24" spans="1:8" x14ac:dyDescent="0.25">
      <c r="A24" s="5">
        <v>6</v>
      </c>
      <c r="B24" s="11" t="s">
        <v>88</v>
      </c>
      <c r="C24" s="11" t="s">
        <v>29</v>
      </c>
      <c r="D24" s="5" t="s">
        <v>54</v>
      </c>
      <c r="E24" s="10">
        <v>6.9710648148148147E-2</v>
      </c>
      <c r="F24" s="5">
        <v>6</v>
      </c>
      <c r="G24" s="5" t="s">
        <v>49</v>
      </c>
      <c r="H24" s="5" t="s">
        <v>49</v>
      </c>
    </row>
    <row r="25" spans="1:8" x14ac:dyDescent="0.25">
      <c r="A25" s="5">
        <v>7</v>
      </c>
      <c r="B25" s="11" t="s">
        <v>89</v>
      </c>
      <c r="C25" s="11" t="s">
        <v>12</v>
      </c>
      <c r="D25" s="5" t="s">
        <v>55</v>
      </c>
      <c r="E25" s="10">
        <v>7.0115740740740742E-2</v>
      </c>
      <c r="F25" s="5">
        <v>7</v>
      </c>
      <c r="G25" s="5" t="s">
        <v>49</v>
      </c>
      <c r="H25" s="5" t="s">
        <v>49</v>
      </c>
    </row>
    <row r="26" spans="1:8" x14ac:dyDescent="0.25">
      <c r="A26" s="5">
        <v>8</v>
      </c>
      <c r="B26" s="11" t="s">
        <v>56</v>
      </c>
      <c r="C26" s="11" t="s">
        <v>11</v>
      </c>
      <c r="D26" s="5" t="s">
        <v>57</v>
      </c>
      <c r="E26" s="10">
        <v>7.0509259259259258E-2</v>
      </c>
      <c r="F26" s="5">
        <v>8</v>
      </c>
      <c r="G26" s="5" t="s">
        <v>49</v>
      </c>
      <c r="H26" s="5" t="s">
        <v>49</v>
      </c>
    </row>
    <row r="27" spans="1:8" x14ac:dyDescent="0.25">
      <c r="A27" s="5">
        <v>9</v>
      </c>
      <c r="B27" s="11" t="s">
        <v>90</v>
      </c>
      <c r="C27" s="11" t="s">
        <v>25</v>
      </c>
      <c r="D27" s="5" t="s">
        <v>58</v>
      </c>
      <c r="E27" s="10">
        <v>7.1111111111111111E-2</v>
      </c>
      <c r="F27" s="5" t="s">
        <v>74</v>
      </c>
      <c r="G27" s="5" t="s">
        <v>84</v>
      </c>
      <c r="H27" s="5" t="s">
        <v>49</v>
      </c>
    </row>
    <row r="28" spans="1:8" x14ac:dyDescent="0.25">
      <c r="A28" s="5">
        <v>10</v>
      </c>
      <c r="B28" s="11" t="s">
        <v>91</v>
      </c>
      <c r="C28" s="11" t="s">
        <v>10</v>
      </c>
      <c r="D28" s="5" t="s">
        <v>59</v>
      </c>
      <c r="E28" s="10">
        <v>7.1122685185185178E-2</v>
      </c>
      <c r="F28" s="5">
        <v>9</v>
      </c>
      <c r="G28" s="5" t="s">
        <v>49</v>
      </c>
      <c r="H28" s="5" t="s">
        <v>49</v>
      </c>
    </row>
    <row r="29" spans="1:8" x14ac:dyDescent="0.25">
      <c r="A29" s="5">
        <v>11</v>
      </c>
      <c r="B29" s="11" t="s">
        <v>60</v>
      </c>
      <c r="C29" s="11" t="s">
        <v>26</v>
      </c>
      <c r="D29" s="5" t="s">
        <v>61</v>
      </c>
      <c r="E29" s="10">
        <v>7.1319444444444449E-2</v>
      </c>
      <c r="F29" s="5">
        <v>10</v>
      </c>
      <c r="G29" s="5" t="s">
        <v>49</v>
      </c>
      <c r="H29" s="5" t="s">
        <v>49</v>
      </c>
    </row>
    <row r="30" spans="1:8" x14ac:dyDescent="0.25">
      <c r="A30" s="5">
        <v>12</v>
      </c>
      <c r="B30" s="11" t="s">
        <v>92</v>
      </c>
      <c r="C30" s="11" t="s">
        <v>28</v>
      </c>
      <c r="D30" s="5" t="s">
        <v>62</v>
      </c>
      <c r="E30" s="10">
        <v>7.1481481481481479E-2</v>
      </c>
      <c r="F30" s="5">
        <v>11</v>
      </c>
      <c r="G30" s="5" t="s">
        <v>49</v>
      </c>
      <c r="H30" s="5" t="s">
        <v>49</v>
      </c>
    </row>
    <row r="31" spans="1:8" x14ac:dyDescent="0.25">
      <c r="A31" s="5">
        <v>13</v>
      </c>
      <c r="B31" s="11" t="s">
        <v>93</v>
      </c>
      <c r="C31" s="11" t="s">
        <v>26</v>
      </c>
      <c r="D31" s="5" t="s">
        <v>63</v>
      </c>
      <c r="E31" s="10">
        <v>7.1759259259259259E-2</v>
      </c>
      <c r="F31" s="5">
        <v>12</v>
      </c>
      <c r="G31" s="5" t="s">
        <v>49</v>
      </c>
      <c r="H31" s="5" t="s">
        <v>49</v>
      </c>
    </row>
    <row r="32" spans="1:8" x14ac:dyDescent="0.25">
      <c r="A32" s="5">
        <v>14</v>
      </c>
      <c r="B32" s="11" t="s">
        <v>64</v>
      </c>
      <c r="C32" s="11" t="s">
        <v>26</v>
      </c>
      <c r="D32" s="5" t="s">
        <v>65</v>
      </c>
      <c r="E32" s="10">
        <v>7.2453703703703701E-2</v>
      </c>
      <c r="F32" s="5">
        <v>13</v>
      </c>
      <c r="G32" s="5" t="s">
        <v>49</v>
      </c>
      <c r="H32" s="5" t="s">
        <v>49</v>
      </c>
    </row>
    <row r="33" spans="1:8" x14ac:dyDescent="0.25">
      <c r="A33" s="5">
        <v>15</v>
      </c>
      <c r="B33" s="11" t="s">
        <v>66</v>
      </c>
      <c r="C33" s="11" t="s">
        <v>27</v>
      </c>
      <c r="D33" s="5">
        <v>87</v>
      </c>
      <c r="E33" s="10">
        <v>7.2476851851851862E-2</v>
      </c>
      <c r="F33" s="5">
        <v>14</v>
      </c>
      <c r="G33" s="5" t="s">
        <v>49</v>
      </c>
      <c r="H33" s="5" t="s">
        <v>49</v>
      </c>
    </row>
    <row r="34" spans="1:8" x14ac:dyDescent="0.25">
      <c r="A34" s="5">
        <v>16</v>
      </c>
      <c r="B34" s="11" t="s">
        <v>94</v>
      </c>
      <c r="C34" s="11" t="s">
        <v>12</v>
      </c>
      <c r="D34" s="5" t="s">
        <v>67</v>
      </c>
      <c r="E34" s="10">
        <v>7.3240740740740731E-2</v>
      </c>
      <c r="F34" s="5">
        <v>15</v>
      </c>
      <c r="G34" s="5" t="s">
        <v>49</v>
      </c>
      <c r="H34" s="5" t="s">
        <v>84</v>
      </c>
    </row>
    <row r="35" spans="1:8" x14ac:dyDescent="0.25">
      <c r="A35" s="5">
        <v>17</v>
      </c>
      <c r="B35" s="11" t="s">
        <v>95</v>
      </c>
      <c r="C35" s="11" t="s">
        <v>28</v>
      </c>
      <c r="D35" s="5" t="s">
        <v>68</v>
      </c>
      <c r="E35" s="12" t="s">
        <v>85</v>
      </c>
      <c r="F35" s="5">
        <v>16</v>
      </c>
      <c r="G35" s="5" t="s">
        <v>49</v>
      </c>
      <c r="H35" s="5" t="s">
        <v>84</v>
      </c>
    </row>
    <row r="36" spans="1:8" x14ac:dyDescent="0.25">
      <c r="A36" s="5">
        <v>18</v>
      </c>
      <c r="B36" s="11" t="s">
        <v>96</v>
      </c>
      <c r="C36" s="11" t="s">
        <v>29</v>
      </c>
      <c r="D36" s="5">
        <v>51</v>
      </c>
      <c r="E36" s="10">
        <v>7.3761574074074077E-2</v>
      </c>
      <c r="F36" s="5">
        <v>17</v>
      </c>
      <c r="G36" s="5" t="s">
        <v>49</v>
      </c>
      <c r="H36" s="5" t="s">
        <v>84</v>
      </c>
    </row>
    <row r="37" spans="1:8" x14ac:dyDescent="0.25">
      <c r="A37" s="5">
        <v>19</v>
      </c>
      <c r="B37" s="11" t="s">
        <v>69</v>
      </c>
      <c r="C37" s="11" t="s">
        <v>28</v>
      </c>
      <c r="D37" s="5" t="s">
        <v>70</v>
      </c>
      <c r="E37" s="10">
        <v>7.3993055555555562E-2</v>
      </c>
      <c r="F37" s="5">
        <v>18</v>
      </c>
      <c r="G37" s="5" t="s">
        <v>49</v>
      </c>
      <c r="H37" s="5" t="s">
        <v>84</v>
      </c>
    </row>
    <row r="38" spans="1:8" x14ac:dyDescent="0.25">
      <c r="A38" s="5">
        <v>20</v>
      </c>
      <c r="B38" s="11" t="s">
        <v>71</v>
      </c>
      <c r="C38" s="11" t="s">
        <v>28</v>
      </c>
      <c r="D38" s="5" t="s">
        <v>72</v>
      </c>
      <c r="E38" s="10">
        <v>7.4247685185185194E-2</v>
      </c>
      <c r="F38" s="5">
        <v>19</v>
      </c>
      <c r="G38" s="5" t="s">
        <v>49</v>
      </c>
      <c r="H38" s="5" t="s">
        <v>84</v>
      </c>
    </row>
    <row r="39" spans="1:8" x14ac:dyDescent="0.25">
      <c r="A39" s="5">
        <v>21</v>
      </c>
      <c r="B39" s="11" t="s">
        <v>97</v>
      </c>
      <c r="C39" s="11" t="s">
        <v>10</v>
      </c>
      <c r="D39" s="5">
        <v>29</v>
      </c>
      <c r="E39" s="10">
        <v>7.4259259259259261E-2</v>
      </c>
      <c r="F39" s="5">
        <v>20</v>
      </c>
      <c r="G39" s="5" t="s">
        <v>49</v>
      </c>
      <c r="H39" s="5" t="s">
        <v>84</v>
      </c>
    </row>
    <row r="40" spans="1:8" x14ac:dyDescent="0.25">
      <c r="A40" s="5">
        <v>22</v>
      </c>
      <c r="B40" s="11" t="s">
        <v>98</v>
      </c>
      <c r="C40" s="11" t="s">
        <v>12</v>
      </c>
      <c r="D40" s="5" t="s">
        <v>73</v>
      </c>
      <c r="E40" s="10">
        <v>7.4340277777777783E-2</v>
      </c>
      <c r="F40" s="5">
        <v>21</v>
      </c>
      <c r="G40" s="5" t="s">
        <v>49</v>
      </c>
      <c r="H40" s="5" t="s">
        <v>84</v>
      </c>
    </row>
    <row r="41" spans="1:8" x14ac:dyDescent="0.25">
      <c r="A41" s="5">
        <v>23</v>
      </c>
      <c r="B41" s="11" t="s">
        <v>99</v>
      </c>
      <c r="C41" s="11" t="s">
        <v>11</v>
      </c>
      <c r="D41" s="5">
        <v>17</v>
      </c>
      <c r="E41" s="10">
        <v>7.4548611111111107E-2</v>
      </c>
      <c r="F41" s="5" t="s">
        <v>74</v>
      </c>
      <c r="G41" s="5" t="s">
        <v>49</v>
      </c>
      <c r="H41" s="5" t="s">
        <v>84</v>
      </c>
    </row>
    <row r="42" spans="1:8" x14ac:dyDescent="0.25">
      <c r="A42" s="5">
        <v>24</v>
      </c>
      <c r="B42" s="11" t="s">
        <v>100</v>
      </c>
      <c r="C42" s="11" t="s">
        <v>9</v>
      </c>
      <c r="D42" s="5">
        <v>1</v>
      </c>
      <c r="E42" s="10">
        <v>7.4872685185185181E-2</v>
      </c>
      <c r="F42" s="5">
        <v>22</v>
      </c>
      <c r="G42" s="5" t="s">
        <v>49</v>
      </c>
      <c r="H42" s="5" t="s">
        <v>84</v>
      </c>
    </row>
    <row r="43" spans="1:8" x14ac:dyDescent="0.25">
      <c r="A43" s="5">
        <v>25</v>
      </c>
      <c r="B43" s="11" t="s">
        <v>104</v>
      </c>
      <c r="C43" s="11" t="s">
        <v>9</v>
      </c>
      <c r="D43" s="5">
        <v>61</v>
      </c>
      <c r="E43" s="10">
        <v>7.662037037037038E-2</v>
      </c>
      <c r="F43" s="5">
        <v>23</v>
      </c>
      <c r="G43" s="5" t="s">
        <v>49</v>
      </c>
      <c r="H43" s="5" t="s">
        <v>84</v>
      </c>
    </row>
    <row r="44" spans="1:8" x14ac:dyDescent="0.25">
      <c r="A44" s="5">
        <v>26</v>
      </c>
      <c r="B44" s="11" t="s">
        <v>105</v>
      </c>
      <c r="C44" s="11" t="s">
        <v>11</v>
      </c>
      <c r="D44" s="5">
        <v>93</v>
      </c>
      <c r="E44" s="13">
        <v>7.6886574074074079E-2</v>
      </c>
      <c r="F44" s="5">
        <v>24</v>
      </c>
      <c r="G44" s="5" t="s">
        <v>49</v>
      </c>
      <c r="H44" s="5" t="s">
        <v>84</v>
      </c>
    </row>
    <row r="45" spans="1:8" x14ac:dyDescent="0.25">
      <c r="A45" s="5">
        <v>27</v>
      </c>
      <c r="B45" s="11" t="s">
        <v>106</v>
      </c>
      <c r="C45" s="11" t="s">
        <v>7</v>
      </c>
      <c r="D45" s="5">
        <v>45</v>
      </c>
      <c r="E45" s="13">
        <v>7.6921296296296293E-2</v>
      </c>
      <c r="F45" s="5">
        <v>25</v>
      </c>
      <c r="G45" s="5" t="s">
        <v>49</v>
      </c>
      <c r="H45" s="5" t="s">
        <v>84</v>
      </c>
    </row>
    <row r="46" spans="1:8" x14ac:dyDescent="0.25">
      <c r="A46" s="5">
        <v>28</v>
      </c>
      <c r="B46" s="11" t="s">
        <v>107</v>
      </c>
      <c r="C46" s="11" t="s">
        <v>12</v>
      </c>
      <c r="D46" s="5">
        <v>77</v>
      </c>
      <c r="E46" s="10">
        <v>7.6979166666666668E-2</v>
      </c>
      <c r="F46" s="5" t="s">
        <v>74</v>
      </c>
      <c r="G46" s="5" t="s">
        <v>84</v>
      </c>
      <c r="H46" s="5" t="s">
        <v>84</v>
      </c>
    </row>
    <row r="47" spans="1:8" x14ac:dyDescent="0.25">
      <c r="A47" s="5">
        <v>29</v>
      </c>
      <c r="B47" s="11" t="s">
        <v>110</v>
      </c>
      <c r="C47" s="11" t="s">
        <v>27</v>
      </c>
      <c r="D47" s="5">
        <v>27</v>
      </c>
      <c r="E47" s="10">
        <v>7.7187500000000006E-2</v>
      </c>
      <c r="F47" s="5">
        <v>26</v>
      </c>
      <c r="G47" s="5" t="s">
        <v>49</v>
      </c>
      <c r="H47" s="5" t="s">
        <v>84</v>
      </c>
    </row>
    <row r="48" spans="1:8" x14ac:dyDescent="0.25">
      <c r="A48" s="5">
        <v>30</v>
      </c>
      <c r="B48" s="11" t="s">
        <v>111</v>
      </c>
      <c r="C48" s="11" t="s">
        <v>27</v>
      </c>
      <c r="D48" s="5">
        <v>67</v>
      </c>
      <c r="E48" s="10">
        <v>7.7187500000000006E-2</v>
      </c>
      <c r="F48" s="5">
        <v>26</v>
      </c>
      <c r="G48" s="5" t="s">
        <v>49</v>
      </c>
      <c r="H48" s="5" t="s">
        <v>84</v>
      </c>
    </row>
    <row r="49" spans="1:8" x14ac:dyDescent="0.25">
      <c r="A49" s="5">
        <v>31</v>
      </c>
      <c r="B49" s="11" t="s">
        <v>112</v>
      </c>
      <c r="C49" s="11" t="s">
        <v>7</v>
      </c>
      <c r="D49" s="5">
        <v>25</v>
      </c>
      <c r="E49" s="10">
        <v>7.7337962962962969E-2</v>
      </c>
      <c r="F49" s="5">
        <v>28</v>
      </c>
      <c r="G49" s="5" t="s">
        <v>49</v>
      </c>
      <c r="H49" s="5" t="s">
        <v>84</v>
      </c>
    </row>
    <row r="50" spans="1:8" x14ac:dyDescent="0.25">
      <c r="A50" s="5">
        <v>32</v>
      </c>
      <c r="B50" s="11" t="s">
        <v>113</v>
      </c>
      <c r="C50" s="11" t="s">
        <v>12</v>
      </c>
      <c r="D50" s="5">
        <v>3</v>
      </c>
      <c r="E50" s="10">
        <v>7.7777777777777779E-2</v>
      </c>
      <c r="F50" s="5">
        <v>29</v>
      </c>
      <c r="G50" s="5" t="s">
        <v>49</v>
      </c>
      <c r="H50" s="5" t="s">
        <v>84</v>
      </c>
    </row>
    <row r="51" spans="1:8" x14ac:dyDescent="0.25">
      <c r="A51" s="5">
        <v>33</v>
      </c>
      <c r="B51" s="11" t="s">
        <v>114</v>
      </c>
      <c r="C51" s="11" t="s">
        <v>26</v>
      </c>
      <c r="D51" s="5">
        <v>15</v>
      </c>
      <c r="E51" s="10">
        <v>7.918981481481481E-2</v>
      </c>
      <c r="F51" s="5">
        <v>30</v>
      </c>
      <c r="G51" s="5" t="s">
        <v>49</v>
      </c>
      <c r="H51" s="5" t="s">
        <v>84</v>
      </c>
    </row>
    <row r="52" spans="1:8" x14ac:dyDescent="0.25">
      <c r="A52" s="5">
        <v>34</v>
      </c>
      <c r="B52" s="11" t="s">
        <v>115</v>
      </c>
      <c r="C52" s="11" t="s">
        <v>25</v>
      </c>
      <c r="D52" s="5">
        <v>102</v>
      </c>
      <c r="E52" s="10">
        <v>7.9282407407407399E-2</v>
      </c>
      <c r="F52" s="5" t="s">
        <v>74</v>
      </c>
      <c r="G52" s="5" t="s">
        <v>49</v>
      </c>
      <c r="H52" s="5" t="s">
        <v>84</v>
      </c>
    </row>
    <row r="53" spans="1:8" x14ac:dyDescent="0.25">
      <c r="A53" s="5">
        <v>35</v>
      </c>
      <c r="B53" s="11" t="s">
        <v>116</v>
      </c>
      <c r="C53" s="11" t="s">
        <v>9</v>
      </c>
      <c r="D53" s="5">
        <v>21</v>
      </c>
      <c r="E53" s="10">
        <v>7.9768518518518516E-2</v>
      </c>
      <c r="F53" s="5">
        <v>31</v>
      </c>
      <c r="G53" s="5" t="s">
        <v>84</v>
      </c>
      <c r="H53" s="5" t="s">
        <v>6</v>
      </c>
    </row>
    <row r="54" spans="1:8" x14ac:dyDescent="0.25">
      <c r="A54" s="5">
        <v>36</v>
      </c>
      <c r="B54" s="11" t="s">
        <v>117</v>
      </c>
      <c r="C54" s="11" t="s">
        <v>26</v>
      </c>
      <c r="D54" s="5">
        <v>35</v>
      </c>
      <c r="E54" s="10">
        <v>8.0312499999999995E-2</v>
      </c>
      <c r="F54" s="5">
        <v>32</v>
      </c>
      <c r="G54" s="5" t="s">
        <v>49</v>
      </c>
      <c r="H54" s="5"/>
    </row>
    <row r="55" spans="1:8" x14ac:dyDescent="0.25">
      <c r="A55" s="5">
        <v>37</v>
      </c>
      <c r="B55" s="11" t="s">
        <v>118</v>
      </c>
      <c r="C55" s="11" t="s">
        <v>27</v>
      </c>
      <c r="D55" s="5">
        <v>7</v>
      </c>
      <c r="E55" s="10">
        <v>8.0763888888888885E-2</v>
      </c>
      <c r="F55" s="5">
        <v>33</v>
      </c>
      <c r="G55" s="5" t="s">
        <v>84</v>
      </c>
      <c r="H55" s="5"/>
    </row>
    <row r="56" spans="1:8" x14ac:dyDescent="0.25">
      <c r="A56" s="5">
        <v>38</v>
      </c>
      <c r="B56" s="11" t="s">
        <v>119</v>
      </c>
      <c r="C56" s="11" t="s">
        <v>26</v>
      </c>
      <c r="D56" s="5">
        <v>100</v>
      </c>
      <c r="E56" s="13">
        <v>8.0868055555555554E-2</v>
      </c>
      <c r="F56" s="5" t="s">
        <v>74</v>
      </c>
      <c r="G56" s="5" t="s">
        <v>84</v>
      </c>
      <c r="H56" s="5"/>
    </row>
    <row r="57" spans="1:8" x14ac:dyDescent="0.25">
      <c r="A57" s="5">
        <v>39</v>
      </c>
      <c r="B57" s="11" t="s">
        <v>120</v>
      </c>
      <c r="C57" s="11" t="s">
        <v>12</v>
      </c>
      <c r="D57" s="5">
        <v>57</v>
      </c>
      <c r="E57" s="13">
        <v>8.1342592592592591E-2</v>
      </c>
      <c r="F57" s="5">
        <v>34</v>
      </c>
      <c r="G57" s="5" t="s">
        <v>49</v>
      </c>
      <c r="H57" s="5"/>
    </row>
    <row r="58" spans="1:8" x14ac:dyDescent="0.25">
      <c r="A58" s="5">
        <v>40</v>
      </c>
      <c r="B58" s="11" t="s">
        <v>121</v>
      </c>
      <c r="C58" s="11" t="s">
        <v>9</v>
      </c>
      <c r="D58" s="5">
        <v>81</v>
      </c>
      <c r="E58" s="13">
        <v>8.2187500000000011E-2</v>
      </c>
      <c r="F58" s="5">
        <v>35</v>
      </c>
      <c r="G58" s="5" t="s">
        <v>49</v>
      </c>
      <c r="H58" s="5"/>
    </row>
    <row r="59" spans="1:8" x14ac:dyDescent="0.25">
      <c r="A59" s="5">
        <v>41</v>
      </c>
      <c r="B59" s="11" t="s">
        <v>122</v>
      </c>
      <c r="C59" s="11" t="s">
        <v>29</v>
      </c>
      <c r="D59" s="5">
        <v>71</v>
      </c>
      <c r="E59" s="10">
        <v>8.3148148148148152E-2</v>
      </c>
      <c r="F59" s="5">
        <v>36</v>
      </c>
      <c r="G59" s="5" t="s">
        <v>49</v>
      </c>
      <c r="H59" s="5"/>
    </row>
    <row r="60" spans="1:8" x14ac:dyDescent="0.25">
      <c r="A60" s="5">
        <v>42</v>
      </c>
      <c r="B60" s="11" t="s">
        <v>123</v>
      </c>
      <c r="C60" s="11" t="s">
        <v>10</v>
      </c>
      <c r="D60" s="5">
        <v>49</v>
      </c>
      <c r="E60" s="13">
        <v>8.5578703703703699E-2</v>
      </c>
      <c r="F60" s="5">
        <v>37</v>
      </c>
      <c r="G60" s="5" t="s">
        <v>49</v>
      </c>
      <c r="H60" s="5"/>
    </row>
    <row r="61" spans="1:8" x14ac:dyDescent="0.25">
      <c r="A61" s="5">
        <v>43</v>
      </c>
      <c r="B61" s="11" t="s">
        <v>124</v>
      </c>
      <c r="C61" s="11" t="s">
        <v>29</v>
      </c>
      <c r="D61" s="5">
        <v>31</v>
      </c>
      <c r="E61" s="13">
        <v>8.5671296296296287E-2</v>
      </c>
      <c r="F61" s="5">
        <v>38</v>
      </c>
      <c r="G61" s="5" t="s">
        <v>49</v>
      </c>
      <c r="H61" s="5"/>
    </row>
    <row r="62" spans="1:8" x14ac:dyDescent="0.25">
      <c r="A62" s="5">
        <v>44</v>
      </c>
      <c r="B62" s="11" t="s">
        <v>101</v>
      </c>
      <c r="C62" s="11" t="s">
        <v>27</v>
      </c>
      <c r="D62" s="5">
        <v>47</v>
      </c>
      <c r="E62" s="13">
        <v>8.7106481481481479E-2</v>
      </c>
      <c r="F62" s="5">
        <v>39</v>
      </c>
      <c r="G62" s="5" t="s">
        <v>49</v>
      </c>
      <c r="H62" s="5"/>
    </row>
    <row r="63" spans="1:8" x14ac:dyDescent="0.25">
      <c r="A63" s="5">
        <v>45</v>
      </c>
      <c r="B63" s="11" t="s">
        <v>125</v>
      </c>
      <c r="C63" s="11" t="s">
        <v>10</v>
      </c>
      <c r="D63" s="5">
        <v>9</v>
      </c>
      <c r="E63" s="13">
        <v>8.9178240740740752E-2</v>
      </c>
      <c r="F63" s="5">
        <v>40</v>
      </c>
      <c r="G63" s="5" t="s">
        <v>49</v>
      </c>
      <c r="H63" s="5"/>
    </row>
    <row r="64" spans="1:8" x14ac:dyDescent="0.25">
      <c r="A64" s="5">
        <v>46</v>
      </c>
      <c r="B64" s="11" t="s">
        <v>102</v>
      </c>
      <c r="C64" s="11" t="s">
        <v>9</v>
      </c>
      <c r="D64" s="5">
        <v>41</v>
      </c>
      <c r="E64" s="10">
        <v>8.9409722222222224E-2</v>
      </c>
      <c r="F64" s="5">
        <v>41</v>
      </c>
      <c r="G64" s="5" t="s">
        <v>49</v>
      </c>
      <c r="H64" s="5"/>
    </row>
    <row r="65" spans="1:8" x14ac:dyDescent="0.25">
      <c r="A65" s="5">
        <v>47</v>
      </c>
      <c r="B65" s="11" t="s">
        <v>103</v>
      </c>
      <c r="C65" s="11" t="s">
        <v>7</v>
      </c>
      <c r="D65" s="5">
        <v>5</v>
      </c>
      <c r="E65" s="13">
        <v>9.1064814814814821E-2</v>
      </c>
      <c r="F65" s="5">
        <v>42</v>
      </c>
      <c r="G65" s="5" t="s">
        <v>84</v>
      </c>
      <c r="H65" s="5"/>
    </row>
    <row r="66" spans="1:8" x14ac:dyDescent="0.25">
      <c r="A66" s="5">
        <v>48</v>
      </c>
      <c r="B66" s="11" t="s">
        <v>126</v>
      </c>
      <c r="C66" s="11" t="s">
        <v>29</v>
      </c>
      <c r="D66" s="5">
        <v>11</v>
      </c>
      <c r="E66" s="13">
        <v>9.149305555555555E-2</v>
      </c>
      <c r="F66" s="5">
        <v>43</v>
      </c>
      <c r="G66" s="5" t="s">
        <v>49</v>
      </c>
      <c r="H66" s="5"/>
    </row>
    <row r="67" spans="1:8" x14ac:dyDescent="0.25">
      <c r="A67" s="5">
        <v>49</v>
      </c>
      <c r="B67" s="11" t="s">
        <v>127</v>
      </c>
      <c r="C67" s="11" t="s">
        <v>28</v>
      </c>
      <c r="D67" s="5">
        <v>19</v>
      </c>
      <c r="E67" s="13">
        <v>9.6574074074074076E-2</v>
      </c>
      <c r="F67" s="5">
        <v>44</v>
      </c>
      <c r="G67" s="5" t="s">
        <v>84</v>
      </c>
      <c r="H67" s="5"/>
    </row>
    <row r="68" spans="1:8" x14ac:dyDescent="0.25">
      <c r="A68" s="5">
        <v>50</v>
      </c>
      <c r="B68" s="11" t="s">
        <v>128</v>
      </c>
      <c r="C68" s="11" t="s">
        <v>10</v>
      </c>
      <c r="D68" s="5">
        <v>89</v>
      </c>
      <c r="E68" s="5" t="s">
        <v>108</v>
      </c>
      <c r="F68" s="5"/>
      <c r="G68" s="5"/>
      <c r="H68" s="5"/>
    </row>
    <row r="69" spans="1:8" x14ac:dyDescent="0.25">
      <c r="A69" s="5">
        <v>51</v>
      </c>
      <c r="B69" s="11" t="s">
        <v>129</v>
      </c>
      <c r="C69" s="11" t="s">
        <v>11</v>
      </c>
      <c r="D69" s="5">
        <v>13</v>
      </c>
      <c r="E69" s="5" t="s">
        <v>108</v>
      </c>
      <c r="F69" s="5"/>
      <c r="G69" s="5"/>
      <c r="H69" s="5"/>
    </row>
    <row r="70" spans="1:8" x14ac:dyDescent="0.25">
      <c r="A70" s="5">
        <v>52</v>
      </c>
      <c r="B70" s="11" t="s">
        <v>130</v>
      </c>
      <c r="C70" s="11" t="s">
        <v>25</v>
      </c>
      <c r="D70" s="5">
        <v>37</v>
      </c>
      <c r="E70" s="5" t="s">
        <v>109</v>
      </c>
      <c r="F70" s="5"/>
      <c r="G70" s="5"/>
      <c r="H70" s="5"/>
    </row>
    <row r="72" spans="1:8" x14ac:dyDescent="0.25">
      <c r="B72" s="1" t="s">
        <v>132</v>
      </c>
    </row>
    <row r="73" spans="1:8" x14ac:dyDescent="0.25">
      <c r="B73" s="1" t="s">
        <v>131</v>
      </c>
    </row>
    <row r="74" spans="1:8" x14ac:dyDescent="0.25">
      <c r="B74" s="1" t="s">
        <v>133</v>
      </c>
    </row>
    <row r="75" spans="1:8" x14ac:dyDescent="0.25">
      <c r="B75" s="1" t="s">
        <v>134</v>
      </c>
    </row>
    <row r="78" spans="1:8" x14ac:dyDescent="0.25">
      <c r="B78" s="2" t="s">
        <v>30</v>
      </c>
      <c r="C78" s="2" t="s">
        <v>32</v>
      </c>
    </row>
    <row r="79" spans="1:8" x14ac:dyDescent="0.25">
      <c r="B79" s="2" t="s">
        <v>31</v>
      </c>
      <c r="C79" s="2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F25"/>
  <sheetViews>
    <sheetView workbookViewId="0">
      <selection activeCell="B24" sqref="B24:C25"/>
    </sheetView>
  </sheetViews>
  <sheetFormatPr defaultRowHeight="13.2" x14ac:dyDescent="0.25"/>
  <cols>
    <col min="1" max="1" width="9.44140625" style="1" customWidth="1"/>
    <col min="2" max="2" width="19.109375" style="1" customWidth="1"/>
    <col min="3" max="3" width="16.88671875" style="1" customWidth="1"/>
    <col min="4" max="5" width="11.77734375" style="1" customWidth="1"/>
    <col min="6" max="6" width="13.109375" style="1" customWidth="1"/>
    <col min="7" max="7" width="23.109375" style="1"/>
    <col min="8" max="8" width="11.44140625" style="1"/>
    <col min="9" max="9" width="13.44140625" style="1"/>
    <col min="10" max="10" width="28" style="1"/>
    <col min="11" max="11" width="11" style="1"/>
    <col min="12" max="12" width="10" style="1"/>
    <col min="13" max="13" width="17.33203125" style="1"/>
    <col min="14" max="16384" width="8.88671875" style="1"/>
  </cols>
  <sheetData>
    <row r="1" spans="1:6" x14ac:dyDescent="0.25">
      <c r="A1" s="2" t="s">
        <v>13</v>
      </c>
    </row>
    <row r="2" spans="1:6" x14ac:dyDescent="0.25">
      <c r="A2" s="2" t="s">
        <v>14</v>
      </c>
    </row>
    <row r="3" spans="1:6" x14ac:dyDescent="0.25">
      <c r="A3" s="2"/>
    </row>
    <row r="4" spans="1:6" x14ac:dyDescent="0.25">
      <c r="A4" s="2" t="s">
        <v>34</v>
      </c>
    </row>
    <row r="5" spans="1:6" x14ac:dyDescent="0.25">
      <c r="A5" s="2" t="s">
        <v>35</v>
      </c>
    </row>
    <row r="6" spans="1:6" x14ac:dyDescent="0.25">
      <c r="A6" s="2" t="s">
        <v>36</v>
      </c>
    </row>
    <row r="7" spans="1:6" x14ac:dyDescent="0.25">
      <c r="A7" s="2" t="s">
        <v>16</v>
      </c>
    </row>
    <row r="9" spans="1:6" x14ac:dyDescent="0.25">
      <c r="A9" s="1" t="s">
        <v>40</v>
      </c>
    </row>
    <row r="12" spans="1:6" ht="28.8" customHeight="1" x14ac:dyDescent="0.25">
      <c r="A12" s="4" t="s">
        <v>17</v>
      </c>
      <c r="B12" s="4" t="s">
        <v>1</v>
      </c>
      <c r="C12" s="4" t="s">
        <v>38</v>
      </c>
      <c r="D12" s="4" t="s">
        <v>22</v>
      </c>
      <c r="E12" s="4" t="s">
        <v>39</v>
      </c>
      <c r="F12" s="4" t="s">
        <v>23</v>
      </c>
    </row>
    <row r="13" spans="1:6" x14ac:dyDescent="0.25">
      <c r="A13" s="5">
        <v>1</v>
      </c>
      <c r="B13" s="11" t="s">
        <v>12</v>
      </c>
      <c r="C13" s="10">
        <v>0.19359953703703703</v>
      </c>
      <c r="D13" s="5">
        <v>1</v>
      </c>
      <c r="E13" s="5">
        <v>1</v>
      </c>
      <c r="F13" s="11"/>
    </row>
    <row r="14" spans="1:6" x14ac:dyDescent="0.25">
      <c r="A14" s="5">
        <v>2</v>
      </c>
      <c r="B14" s="11" t="s">
        <v>7</v>
      </c>
      <c r="C14" s="10">
        <v>0.20226851851851854</v>
      </c>
      <c r="D14" s="5">
        <v>2</v>
      </c>
      <c r="E14" s="5">
        <v>2</v>
      </c>
      <c r="F14" s="11"/>
    </row>
    <row r="15" spans="1:6" x14ac:dyDescent="0.25">
      <c r="A15" s="5">
        <v>3</v>
      </c>
      <c r="B15" s="11" t="s">
        <v>10</v>
      </c>
      <c r="C15" s="10">
        <v>0.20775462962962962</v>
      </c>
      <c r="D15" s="5">
        <v>3</v>
      </c>
      <c r="E15" s="5">
        <v>3</v>
      </c>
      <c r="F15" s="11"/>
    </row>
    <row r="16" spans="1:6" x14ac:dyDescent="0.25">
      <c r="A16" s="5">
        <v>4</v>
      </c>
      <c r="B16" s="11" t="s">
        <v>28</v>
      </c>
      <c r="C16" s="10">
        <v>0.21556712962962962</v>
      </c>
      <c r="D16" s="5">
        <v>4</v>
      </c>
      <c r="E16" s="5">
        <v>4</v>
      </c>
      <c r="F16" s="11"/>
    </row>
    <row r="17" spans="1:6" x14ac:dyDescent="0.25">
      <c r="A17" s="5">
        <v>5</v>
      </c>
      <c r="B17" s="11" t="s">
        <v>11</v>
      </c>
      <c r="C17" s="10">
        <v>0.22559027777777776</v>
      </c>
      <c r="D17" s="5">
        <v>5</v>
      </c>
      <c r="E17" s="5">
        <v>5</v>
      </c>
      <c r="F17" s="11"/>
    </row>
    <row r="18" spans="1:6" x14ac:dyDescent="0.25">
      <c r="A18" s="5">
        <v>6</v>
      </c>
      <c r="B18" s="11" t="s">
        <v>26</v>
      </c>
      <c r="C18" s="10">
        <v>0.23327546296296298</v>
      </c>
      <c r="D18" s="5">
        <v>6</v>
      </c>
      <c r="E18" s="5">
        <v>6</v>
      </c>
      <c r="F18" s="11"/>
    </row>
    <row r="19" spans="1:6" x14ac:dyDescent="0.25">
      <c r="A19" s="5">
        <v>7</v>
      </c>
      <c r="B19" s="11" t="s">
        <v>27</v>
      </c>
      <c r="C19" s="10">
        <v>0.24143518518518517</v>
      </c>
      <c r="D19" s="5">
        <v>7</v>
      </c>
      <c r="E19" s="5">
        <v>7</v>
      </c>
      <c r="F19" s="11"/>
    </row>
    <row r="20" spans="1:6" x14ac:dyDescent="0.25">
      <c r="A20" s="5">
        <v>8</v>
      </c>
      <c r="B20" s="11" t="s">
        <v>9</v>
      </c>
      <c r="C20" s="10">
        <v>0.24842592592592594</v>
      </c>
      <c r="D20" s="5">
        <v>8</v>
      </c>
      <c r="E20" s="5">
        <v>8</v>
      </c>
      <c r="F20" s="11"/>
    </row>
    <row r="21" spans="1:6" x14ac:dyDescent="0.25">
      <c r="A21" s="5">
        <v>9</v>
      </c>
      <c r="B21" s="11" t="s">
        <v>29</v>
      </c>
      <c r="C21" s="10">
        <v>0.27839120370370368</v>
      </c>
      <c r="D21" s="5">
        <v>9</v>
      </c>
      <c r="E21" s="5">
        <v>9</v>
      </c>
      <c r="F21" s="11"/>
    </row>
    <row r="24" spans="1:6" x14ac:dyDescent="0.25">
      <c r="B24" s="2" t="s">
        <v>30</v>
      </c>
      <c r="C24" s="2" t="s">
        <v>32</v>
      </c>
    </row>
    <row r="25" spans="1:6" x14ac:dyDescent="0.25">
      <c r="B25" s="2" t="s">
        <v>31</v>
      </c>
      <c r="C25" s="2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H76"/>
  <sheetViews>
    <sheetView topLeftCell="A18" workbookViewId="0">
      <selection activeCell="E27" sqref="E27"/>
    </sheetView>
  </sheetViews>
  <sheetFormatPr defaultRowHeight="13.2" x14ac:dyDescent="0.25"/>
  <cols>
    <col min="1" max="1" width="10.21875" style="2" customWidth="1"/>
    <col min="2" max="2" width="25" style="2" customWidth="1"/>
    <col min="3" max="3" width="20.21875" style="2" customWidth="1"/>
    <col min="4" max="7" width="11.88671875" style="3" customWidth="1"/>
    <col min="8" max="8" width="16.5546875" style="3" customWidth="1"/>
    <col min="9" max="9" width="13.44140625" style="2"/>
    <col min="10" max="10" width="28" style="2"/>
    <col min="11" max="11" width="11" style="2"/>
    <col min="12" max="12" width="10" style="2"/>
    <col min="13" max="13" width="17.33203125" style="2"/>
    <col min="14" max="16384" width="8.88671875" style="2"/>
  </cols>
  <sheetData>
    <row r="1" spans="1:3" x14ac:dyDescent="0.25">
      <c r="A1" s="2" t="s">
        <v>13</v>
      </c>
      <c r="B1" s="1"/>
      <c r="C1" s="1"/>
    </row>
    <row r="2" spans="1:3" x14ac:dyDescent="0.25">
      <c r="A2" s="2" t="s">
        <v>14</v>
      </c>
      <c r="B2" s="1"/>
      <c r="C2" s="1"/>
    </row>
    <row r="3" spans="1:3" x14ac:dyDescent="0.25">
      <c r="A3" s="1"/>
      <c r="B3" s="1"/>
      <c r="C3" s="1"/>
    </row>
    <row r="4" spans="1:3" x14ac:dyDescent="0.25">
      <c r="A4" s="1" t="s">
        <v>44</v>
      </c>
      <c r="B4" s="1"/>
      <c r="C4" s="1"/>
    </row>
    <row r="5" spans="1:3" x14ac:dyDescent="0.25">
      <c r="A5" s="1" t="s">
        <v>41</v>
      </c>
      <c r="B5" s="1"/>
      <c r="C5" s="1"/>
    </row>
    <row r="6" spans="1:3" x14ac:dyDescent="0.25">
      <c r="A6" s="1"/>
      <c r="B6" s="1"/>
      <c r="C6" s="1"/>
    </row>
    <row r="7" spans="1:3" x14ac:dyDescent="0.25">
      <c r="A7" s="1" t="s">
        <v>140</v>
      </c>
      <c r="B7" s="1"/>
      <c r="C7" s="1"/>
    </row>
    <row r="8" spans="1:3" x14ac:dyDescent="0.25">
      <c r="A8" s="1" t="s">
        <v>141</v>
      </c>
      <c r="B8" s="1"/>
      <c r="C8" s="1"/>
    </row>
    <row r="9" spans="1:3" x14ac:dyDescent="0.25">
      <c r="A9" s="1" t="s">
        <v>77</v>
      </c>
      <c r="B9" s="1"/>
      <c r="C9" s="1"/>
    </row>
    <row r="10" spans="1:3" x14ac:dyDescent="0.25">
      <c r="A10" s="1"/>
      <c r="B10" s="1"/>
      <c r="C10" s="1"/>
    </row>
    <row r="11" spans="1:3" x14ac:dyDescent="0.25">
      <c r="A11" s="1" t="s">
        <v>78</v>
      </c>
      <c r="B11" s="1"/>
      <c r="C11" s="1"/>
    </row>
    <row r="12" spans="1:3" x14ac:dyDescent="0.25">
      <c r="A12" s="1"/>
      <c r="B12" s="1"/>
      <c r="C12" s="1"/>
    </row>
    <row r="13" spans="1:3" x14ac:dyDescent="0.25">
      <c r="A13" s="2" t="s">
        <v>36</v>
      </c>
      <c r="B13" s="1"/>
      <c r="C13" s="1"/>
    </row>
    <row r="14" spans="1:3" x14ac:dyDescent="0.25">
      <c r="A14" s="2" t="s">
        <v>16</v>
      </c>
      <c r="B14" s="1"/>
      <c r="C14" s="1"/>
    </row>
    <row r="15" spans="1:3" x14ac:dyDescent="0.25">
      <c r="A15" s="1"/>
      <c r="B15" s="1"/>
      <c r="C15" s="1"/>
    </row>
    <row r="16" spans="1:3" x14ac:dyDescent="0.25">
      <c r="A16" s="1" t="s">
        <v>142</v>
      </c>
      <c r="B16" s="1"/>
      <c r="C16" s="1"/>
    </row>
    <row r="17" spans="1:8" x14ac:dyDescent="0.25">
      <c r="A17" s="1"/>
      <c r="B17" s="1"/>
      <c r="C17" s="1"/>
    </row>
    <row r="18" spans="1:8" ht="26.4" x14ac:dyDescent="0.25">
      <c r="A18" s="4" t="s">
        <v>17</v>
      </c>
      <c r="B18" s="4" t="s">
        <v>80</v>
      </c>
      <c r="C18" s="4" t="s">
        <v>1</v>
      </c>
      <c r="D18" s="4" t="s">
        <v>81</v>
      </c>
      <c r="E18" s="4" t="s">
        <v>38</v>
      </c>
      <c r="F18" s="4" t="s">
        <v>22</v>
      </c>
      <c r="G18" s="4" t="s">
        <v>82</v>
      </c>
      <c r="H18" s="4" t="s">
        <v>83</v>
      </c>
    </row>
    <row r="19" spans="1:8" x14ac:dyDescent="0.25">
      <c r="A19" s="5">
        <v>1</v>
      </c>
      <c r="B19" s="6" t="s">
        <v>135</v>
      </c>
      <c r="C19" s="6" t="s">
        <v>7</v>
      </c>
      <c r="D19" s="5">
        <v>155</v>
      </c>
      <c r="E19" s="10">
        <v>4.4861111111111109E-2</v>
      </c>
      <c r="F19" s="5">
        <v>1</v>
      </c>
      <c r="G19" s="5" t="s">
        <v>49</v>
      </c>
      <c r="H19" s="5" t="s">
        <v>49</v>
      </c>
    </row>
    <row r="20" spans="1:8" x14ac:dyDescent="0.25">
      <c r="A20" s="5">
        <v>2</v>
      </c>
      <c r="B20" s="6" t="s">
        <v>155</v>
      </c>
      <c r="C20" s="6" t="s">
        <v>12</v>
      </c>
      <c r="D20" s="5">
        <v>157</v>
      </c>
      <c r="E20" s="10">
        <v>4.7152777777777773E-2</v>
      </c>
      <c r="F20" s="5">
        <v>2</v>
      </c>
      <c r="G20" s="5" t="s">
        <v>49</v>
      </c>
      <c r="H20" s="5" t="s">
        <v>49</v>
      </c>
    </row>
    <row r="21" spans="1:8" x14ac:dyDescent="0.25">
      <c r="A21" s="5">
        <v>3</v>
      </c>
      <c r="B21" s="6" t="s">
        <v>156</v>
      </c>
      <c r="C21" s="6" t="s">
        <v>10</v>
      </c>
      <c r="D21" s="5">
        <v>191</v>
      </c>
      <c r="E21" s="10">
        <v>4.7418981481481486E-2</v>
      </c>
      <c r="F21" s="5">
        <v>3</v>
      </c>
      <c r="G21" s="5" t="s">
        <v>49</v>
      </c>
      <c r="H21" s="5" t="s">
        <v>49</v>
      </c>
    </row>
    <row r="22" spans="1:8" x14ac:dyDescent="0.25">
      <c r="A22" s="5">
        <v>4</v>
      </c>
      <c r="B22" s="6" t="s">
        <v>136</v>
      </c>
      <c r="C22" s="6" t="s">
        <v>28</v>
      </c>
      <c r="D22" s="5">
        <v>161</v>
      </c>
      <c r="E22" s="10">
        <v>4.7511574074074074E-2</v>
      </c>
      <c r="F22" s="5">
        <v>4</v>
      </c>
      <c r="G22" s="5" t="s">
        <v>49</v>
      </c>
      <c r="H22" s="5" t="s">
        <v>49</v>
      </c>
    </row>
    <row r="23" spans="1:8" x14ac:dyDescent="0.25">
      <c r="A23" s="5">
        <v>5</v>
      </c>
      <c r="B23" s="6" t="s">
        <v>157</v>
      </c>
      <c r="C23" s="6" t="s">
        <v>12</v>
      </c>
      <c r="D23" s="5">
        <v>197</v>
      </c>
      <c r="E23" s="10">
        <v>4.7962962962962964E-2</v>
      </c>
      <c r="F23" s="5">
        <v>5</v>
      </c>
      <c r="G23" s="5" t="s">
        <v>49</v>
      </c>
      <c r="H23" s="5" t="s">
        <v>49</v>
      </c>
    </row>
    <row r="24" spans="1:8" x14ac:dyDescent="0.25">
      <c r="A24" s="5">
        <v>6</v>
      </c>
      <c r="B24" s="6" t="s">
        <v>137</v>
      </c>
      <c r="C24" s="6" t="s">
        <v>12</v>
      </c>
      <c r="D24" s="5">
        <v>137</v>
      </c>
      <c r="E24" s="10">
        <v>4.8101851851851847E-2</v>
      </c>
      <c r="F24" s="5">
        <v>6</v>
      </c>
      <c r="G24" s="5" t="s">
        <v>49</v>
      </c>
      <c r="H24" s="5" t="s">
        <v>49</v>
      </c>
    </row>
    <row r="25" spans="1:8" x14ac:dyDescent="0.25">
      <c r="A25" s="5">
        <v>7</v>
      </c>
      <c r="B25" s="6" t="s">
        <v>138</v>
      </c>
      <c r="C25" s="6" t="s">
        <v>7</v>
      </c>
      <c r="D25" s="5">
        <v>145</v>
      </c>
      <c r="E25" s="10">
        <v>5.0370370370370371E-2</v>
      </c>
      <c r="F25" s="5">
        <v>7</v>
      </c>
      <c r="G25" s="5" t="s">
        <v>49</v>
      </c>
      <c r="H25" s="5" t="s">
        <v>49</v>
      </c>
    </row>
    <row r="26" spans="1:8" x14ac:dyDescent="0.25">
      <c r="A26" s="5">
        <v>8</v>
      </c>
      <c r="B26" s="6" t="s">
        <v>139</v>
      </c>
      <c r="C26" s="6" t="s">
        <v>12</v>
      </c>
      <c r="D26" s="5">
        <v>117</v>
      </c>
      <c r="E26" s="10">
        <v>5.0381944444444444E-2</v>
      </c>
      <c r="F26" s="5">
        <v>8</v>
      </c>
      <c r="G26" s="5" t="s">
        <v>49</v>
      </c>
      <c r="H26" s="5" t="s">
        <v>49</v>
      </c>
    </row>
    <row r="27" spans="1:8" x14ac:dyDescent="0.25">
      <c r="A27" s="5">
        <v>9</v>
      </c>
      <c r="B27" s="6" t="s">
        <v>143</v>
      </c>
      <c r="C27" s="6" t="s">
        <v>7</v>
      </c>
      <c r="D27" s="5">
        <v>125</v>
      </c>
      <c r="E27" s="10">
        <v>5.0983796296296291E-2</v>
      </c>
      <c r="F27" s="5">
        <v>9</v>
      </c>
      <c r="G27" s="5" t="s">
        <v>49</v>
      </c>
      <c r="H27" s="5" t="s">
        <v>49</v>
      </c>
    </row>
    <row r="28" spans="1:8" x14ac:dyDescent="0.25">
      <c r="A28" s="5">
        <v>10</v>
      </c>
      <c r="B28" s="6" t="s">
        <v>144</v>
      </c>
      <c r="C28" s="6" t="s">
        <v>11</v>
      </c>
      <c r="D28" s="5">
        <v>187</v>
      </c>
      <c r="E28" s="10">
        <v>5.0983796296296291E-2</v>
      </c>
      <c r="F28" s="5">
        <v>9</v>
      </c>
      <c r="G28" s="5" t="s">
        <v>49</v>
      </c>
      <c r="H28" s="5" t="s">
        <v>49</v>
      </c>
    </row>
    <row r="29" spans="1:8" x14ac:dyDescent="0.25">
      <c r="A29" s="5">
        <v>11</v>
      </c>
      <c r="B29" s="6" t="s">
        <v>158</v>
      </c>
      <c r="C29" s="6" t="s">
        <v>12</v>
      </c>
      <c r="D29" s="5">
        <v>177</v>
      </c>
      <c r="E29" s="10">
        <v>5.1388888888888894E-2</v>
      </c>
      <c r="F29" s="5">
        <v>11</v>
      </c>
      <c r="G29" s="5" t="s">
        <v>49</v>
      </c>
      <c r="H29" s="5" t="s">
        <v>49</v>
      </c>
    </row>
    <row r="30" spans="1:8" x14ac:dyDescent="0.25">
      <c r="A30" s="5">
        <v>12</v>
      </c>
      <c r="B30" s="6" t="s">
        <v>159</v>
      </c>
      <c r="C30" s="6" t="s">
        <v>10</v>
      </c>
      <c r="D30" s="5">
        <v>151</v>
      </c>
      <c r="E30" s="10">
        <v>5.1608796296296298E-2</v>
      </c>
      <c r="F30" s="5">
        <v>12</v>
      </c>
      <c r="G30" s="5" t="s">
        <v>49</v>
      </c>
      <c r="H30" s="5" t="s">
        <v>49</v>
      </c>
    </row>
    <row r="31" spans="1:8" x14ac:dyDescent="0.25">
      <c r="A31" s="5">
        <v>13</v>
      </c>
      <c r="B31" s="6" t="s">
        <v>145</v>
      </c>
      <c r="C31" s="6" t="s">
        <v>12</v>
      </c>
      <c r="D31" s="5">
        <v>183</v>
      </c>
      <c r="E31" s="10">
        <v>5.2685185185185189E-2</v>
      </c>
      <c r="F31" s="5" t="s">
        <v>74</v>
      </c>
      <c r="G31" s="5" t="s">
        <v>49</v>
      </c>
      <c r="H31" s="5" t="s">
        <v>49</v>
      </c>
    </row>
    <row r="32" spans="1:8" x14ac:dyDescent="0.25">
      <c r="A32" s="5">
        <v>14</v>
      </c>
      <c r="B32" s="6" t="s">
        <v>146</v>
      </c>
      <c r="C32" s="6" t="s">
        <v>28</v>
      </c>
      <c r="D32" s="5">
        <v>181</v>
      </c>
      <c r="E32" s="13">
        <v>5.3564814814814815E-2</v>
      </c>
      <c r="F32" s="5">
        <v>13</v>
      </c>
      <c r="G32" s="5" t="s">
        <v>49</v>
      </c>
      <c r="H32" s="5" t="s">
        <v>49</v>
      </c>
    </row>
    <row r="33" spans="1:8" x14ac:dyDescent="0.25">
      <c r="A33" s="5">
        <v>15</v>
      </c>
      <c r="B33" s="6" t="s">
        <v>147</v>
      </c>
      <c r="C33" s="6" t="s">
        <v>10</v>
      </c>
      <c r="D33" s="5">
        <v>171</v>
      </c>
      <c r="E33" s="10">
        <v>5.4189814814814809E-2</v>
      </c>
      <c r="F33" s="5">
        <v>14</v>
      </c>
      <c r="G33" s="5" t="s">
        <v>49</v>
      </c>
      <c r="H33" s="5" t="s">
        <v>49</v>
      </c>
    </row>
    <row r="34" spans="1:8" x14ac:dyDescent="0.25">
      <c r="A34" s="5">
        <v>16</v>
      </c>
      <c r="B34" s="6" t="s">
        <v>160</v>
      </c>
      <c r="C34" s="6" t="s">
        <v>10</v>
      </c>
      <c r="D34" s="5">
        <v>111</v>
      </c>
      <c r="E34" s="13">
        <v>5.4537037037037044E-2</v>
      </c>
      <c r="F34" s="5">
        <v>15</v>
      </c>
      <c r="G34" s="5" t="s">
        <v>49</v>
      </c>
      <c r="H34" s="5" t="s">
        <v>84</v>
      </c>
    </row>
    <row r="35" spans="1:8" x14ac:dyDescent="0.25">
      <c r="A35" s="5">
        <v>17</v>
      </c>
      <c r="B35" s="6" t="s">
        <v>148</v>
      </c>
      <c r="C35" s="6" t="s">
        <v>26</v>
      </c>
      <c r="D35" s="5">
        <v>153</v>
      </c>
      <c r="E35" s="10">
        <v>5.4675925925925926E-2</v>
      </c>
      <c r="F35" s="5">
        <v>16</v>
      </c>
      <c r="G35" s="5" t="s">
        <v>49</v>
      </c>
      <c r="H35" s="5" t="s">
        <v>84</v>
      </c>
    </row>
    <row r="36" spans="1:8" x14ac:dyDescent="0.25">
      <c r="A36" s="5">
        <v>18</v>
      </c>
      <c r="B36" s="6" t="s">
        <v>149</v>
      </c>
      <c r="C36" s="6" t="s">
        <v>25</v>
      </c>
      <c r="D36" s="5">
        <v>123</v>
      </c>
      <c r="E36" s="10">
        <v>5.5381944444444442E-2</v>
      </c>
      <c r="F36" s="5" t="s">
        <v>74</v>
      </c>
      <c r="G36" s="5" t="s">
        <v>84</v>
      </c>
      <c r="H36" s="5" t="s">
        <v>84</v>
      </c>
    </row>
    <row r="37" spans="1:8" x14ac:dyDescent="0.25">
      <c r="A37" s="5">
        <v>19</v>
      </c>
      <c r="B37" s="6" t="s">
        <v>150</v>
      </c>
      <c r="C37" s="6" t="s">
        <v>27</v>
      </c>
      <c r="D37" s="5">
        <v>195</v>
      </c>
      <c r="E37" s="10">
        <v>5.5844907407407406E-2</v>
      </c>
      <c r="F37" s="5">
        <v>17</v>
      </c>
      <c r="G37" s="5" t="s">
        <v>49</v>
      </c>
      <c r="H37" s="5" t="s">
        <v>84</v>
      </c>
    </row>
    <row r="38" spans="1:8" x14ac:dyDescent="0.25">
      <c r="A38" s="5">
        <v>20</v>
      </c>
      <c r="B38" s="6" t="s">
        <v>151</v>
      </c>
      <c r="C38" s="6" t="s">
        <v>11</v>
      </c>
      <c r="D38" s="5">
        <v>167</v>
      </c>
      <c r="E38" s="10">
        <v>5.5856481481481479E-2</v>
      </c>
      <c r="F38" s="5">
        <v>18</v>
      </c>
      <c r="G38" s="5" t="s">
        <v>49</v>
      </c>
      <c r="H38" s="5" t="s">
        <v>84</v>
      </c>
    </row>
    <row r="39" spans="1:8" x14ac:dyDescent="0.25">
      <c r="A39" s="5">
        <v>21</v>
      </c>
      <c r="B39" s="6" t="s">
        <v>152</v>
      </c>
      <c r="C39" s="6" t="s">
        <v>7</v>
      </c>
      <c r="D39" s="5">
        <v>185</v>
      </c>
      <c r="E39" s="10">
        <v>5.6053240740740744E-2</v>
      </c>
      <c r="F39" s="5">
        <v>19</v>
      </c>
      <c r="G39" s="5" t="s">
        <v>49</v>
      </c>
      <c r="H39" s="5" t="s">
        <v>84</v>
      </c>
    </row>
    <row r="40" spans="1:8" x14ac:dyDescent="0.25">
      <c r="A40" s="5">
        <v>22</v>
      </c>
      <c r="B40" s="6" t="s">
        <v>161</v>
      </c>
      <c r="C40" s="6" t="s">
        <v>28</v>
      </c>
      <c r="D40" s="5">
        <v>121</v>
      </c>
      <c r="E40" s="10">
        <v>5.6666666666666671E-2</v>
      </c>
      <c r="F40" s="5">
        <v>20</v>
      </c>
      <c r="G40" s="5" t="s">
        <v>49</v>
      </c>
      <c r="H40" s="5"/>
    </row>
    <row r="41" spans="1:8" x14ac:dyDescent="0.25">
      <c r="A41" s="5">
        <v>23</v>
      </c>
      <c r="B41" s="6" t="s">
        <v>162</v>
      </c>
      <c r="C41" s="6" t="s">
        <v>10</v>
      </c>
      <c r="D41" s="5">
        <v>131</v>
      </c>
      <c r="E41" s="10">
        <v>5.6759259259259259E-2</v>
      </c>
      <c r="F41" s="5">
        <v>21</v>
      </c>
      <c r="G41" s="5" t="s">
        <v>49</v>
      </c>
      <c r="H41" s="5"/>
    </row>
    <row r="42" spans="1:8" x14ac:dyDescent="0.25">
      <c r="A42" s="5">
        <v>24</v>
      </c>
      <c r="B42" s="6" t="s">
        <v>163</v>
      </c>
      <c r="C42" s="6" t="s">
        <v>11</v>
      </c>
      <c r="D42" s="5">
        <v>127</v>
      </c>
      <c r="E42" s="10">
        <v>5.7361111111111113E-2</v>
      </c>
      <c r="F42" s="5">
        <v>22</v>
      </c>
      <c r="G42" s="5" t="s">
        <v>49</v>
      </c>
      <c r="H42" s="5"/>
    </row>
    <row r="43" spans="1:8" x14ac:dyDescent="0.25">
      <c r="A43" s="5">
        <v>25</v>
      </c>
      <c r="B43" s="6" t="s">
        <v>153</v>
      </c>
      <c r="C43" s="6" t="s">
        <v>26</v>
      </c>
      <c r="D43" s="5">
        <v>193</v>
      </c>
      <c r="E43" s="10">
        <v>5.7731481481481474E-2</v>
      </c>
      <c r="F43" s="5">
        <v>23</v>
      </c>
      <c r="G43" s="5" t="s">
        <v>49</v>
      </c>
      <c r="H43" s="5"/>
    </row>
    <row r="44" spans="1:8" x14ac:dyDescent="0.25">
      <c r="A44" s="5">
        <v>26</v>
      </c>
      <c r="B44" s="6" t="s">
        <v>154</v>
      </c>
      <c r="C44" s="14" t="s">
        <v>28</v>
      </c>
      <c r="D44" s="5">
        <v>101</v>
      </c>
      <c r="E44" s="10">
        <v>5.7824074074074076E-2</v>
      </c>
      <c r="F44" s="5">
        <v>24</v>
      </c>
      <c r="G44" s="5" t="s">
        <v>49</v>
      </c>
      <c r="H44" s="5"/>
    </row>
    <row r="45" spans="1:8" x14ac:dyDescent="0.25">
      <c r="A45" s="5">
        <v>27</v>
      </c>
      <c r="B45" s="6" t="s">
        <v>203</v>
      </c>
      <c r="C45" s="6" t="s">
        <v>26</v>
      </c>
      <c r="D45" s="5" t="s">
        <v>164</v>
      </c>
      <c r="E45" s="10">
        <v>5.8125000000000003E-2</v>
      </c>
      <c r="F45" s="5" t="s">
        <v>165</v>
      </c>
      <c r="G45" s="5" t="s">
        <v>49</v>
      </c>
      <c r="H45" s="5"/>
    </row>
    <row r="46" spans="1:8" x14ac:dyDescent="0.25">
      <c r="A46" s="5">
        <v>28</v>
      </c>
      <c r="B46" s="6" t="s">
        <v>204</v>
      </c>
      <c r="C46" s="6" t="s">
        <v>9</v>
      </c>
      <c r="D46" s="5" t="s">
        <v>166</v>
      </c>
      <c r="E46" s="10">
        <v>5.8344907407407408E-2</v>
      </c>
      <c r="F46" s="5" t="s">
        <v>167</v>
      </c>
      <c r="G46" s="5" t="s">
        <v>49</v>
      </c>
      <c r="H46" s="5"/>
    </row>
    <row r="47" spans="1:8" x14ac:dyDescent="0.25">
      <c r="A47" s="5">
        <v>29</v>
      </c>
      <c r="B47" s="6" t="s">
        <v>196</v>
      </c>
      <c r="C47" s="6" t="s">
        <v>25</v>
      </c>
      <c r="D47" s="5">
        <v>163</v>
      </c>
      <c r="E47" s="10">
        <v>5.8564814814814813E-2</v>
      </c>
      <c r="F47" s="5" t="s">
        <v>74</v>
      </c>
      <c r="G47" s="5" t="s">
        <v>84</v>
      </c>
      <c r="H47" s="5"/>
    </row>
    <row r="48" spans="1:8" x14ac:dyDescent="0.25">
      <c r="A48" s="5">
        <v>30</v>
      </c>
      <c r="B48" s="6" t="s">
        <v>205</v>
      </c>
      <c r="C48" s="6" t="s">
        <v>28</v>
      </c>
      <c r="D48" s="5" t="s">
        <v>168</v>
      </c>
      <c r="E48" s="10">
        <v>5.858796296296296E-2</v>
      </c>
      <c r="F48" s="5" t="s">
        <v>169</v>
      </c>
      <c r="G48" s="5" t="s">
        <v>49</v>
      </c>
      <c r="H48" s="5"/>
    </row>
    <row r="49" spans="1:8" x14ac:dyDescent="0.25">
      <c r="A49" s="5">
        <v>31</v>
      </c>
      <c r="B49" s="6" t="s">
        <v>197</v>
      </c>
      <c r="C49" s="6" t="s">
        <v>29</v>
      </c>
      <c r="D49" s="5">
        <v>159</v>
      </c>
      <c r="E49" s="10">
        <v>5.858796296296296E-2</v>
      </c>
      <c r="F49" s="5" t="s">
        <v>169</v>
      </c>
      <c r="G49" s="5" t="s">
        <v>49</v>
      </c>
      <c r="H49" s="5"/>
    </row>
    <row r="50" spans="1:8" x14ac:dyDescent="0.25">
      <c r="A50" s="5">
        <v>32</v>
      </c>
      <c r="B50" s="6" t="s">
        <v>206</v>
      </c>
      <c r="C50" s="6" t="s">
        <v>7</v>
      </c>
      <c r="D50" s="5" t="s">
        <v>170</v>
      </c>
      <c r="E50" s="10">
        <v>5.9293981481481482E-2</v>
      </c>
      <c r="F50" s="5" t="s">
        <v>171</v>
      </c>
      <c r="G50" s="5" t="s">
        <v>49</v>
      </c>
      <c r="H50" s="5"/>
    </row>
    <row r="51" spans="1:8" x14ac:dyDescent="0.25">
      <c r="A51" s="5">
        <v>33</v>
      </c>
      <c r="B51" s="6" t="s">
        <v>198</v>
      </c>
      <c r="C51" s="6" t="s">
        <v>10</v>
      </c>
      <c r="D51" s="5">
        <v>103</v>
      </c>
      <c r="E51" s="10">
        <v>6.0243055555555557E-2</v>
      </c>
      <c r="F51" s="5" t="s">
        <v>74</v>
      </c>
      <c r="G51" s="5" t="s">
        <v>49</v>
      </c>
      <c r="H51" s="5"/>
    </row>
    <row r="52" spans="1:8" x14ac:dyDescent="0.25">
      <c r="A52" s="5">
        <v>34</v>
      </c>
      <c r="B52" s="6" t="s">
        <v>199</v>
      </c>
      <c r="C52" s="6" t="s">
        <v>29</v>
      </c>
      <c r="D52" s="5">
        <v>179</v>
      </c>
      <c r="E52" s="10">
        <v>6.0648148148148145E-2</v>
      </c>
      <c r="F52" s="5" t="s">
        <v>172</v>
      </c>
      <c r="G52" s="5" t="s">
        <v>84</v>
      </c>
      <c r="H52" s="5"/>
    </row>
    <row r="53" spans="1:8" x14ac:dyDescent="0.25">
      <c r="A53" s="5">
        <v>35</v>
      </c>
      <c r="B53" s="6" t="s">
        <v>207</v>
      </c>
      <c r="C53" s="6" t="s">
        <v>27</v>
      </c>
      <c r="D53" s="5" t="s">
        <v>173</v>
      </c>
      <c r="E53" s="10">
        <v>6.0763888888888888E-2</v>
      </c>
      <c r="F53" s="5" t="s">
        <v>174</v>
      </c>
      <c r="G53" s="5" t="s">
        <v>49</v>
      </c>
      <c r="H53" s="5"/>
    </row>
    <row r="54" spans="1:8" x14ac:dyDescent="0.25">
      <c r="A54" s="5">
        <v>36</v>
      </c>
      <c r="B54" s="6" t="s">
        <v>208</v>
      </c>
      <c r="C54" s="6" t="s">
        <v>11</v>
      </c>
      <c r="D54" s="5" t="s">
        <v>175</v>
      </c>
      <c r="E54" s="10">
        <v>6.1388888888888889E-2</v>
      </c>
      <c r="F54" s="5" t="s">
        <v>176</v>
      </c>
      <c r="G54" s="5" t="s">
        <v>49</v>
      </c>
      <c r="H54" s="5"/>
    </row>
    <row r="55" spans="1:8" x14ac:dyDescent="0.25">
      <c r="A55" s="5">
        <v>37</v>
      </c>
      <c r="B55" s="6" t="s">
        <v>209</v>
      </c>
      <c r="C55" s="6" t="s">
        <v>9</v>
      </c>
      <c r="D55" s="5" t="s">
        <v>177</v>
      </c>
      <c r="E55" s="10">
        <v>6.2291666666666669E-2</v>
      </c>
      <c r="F55" s="5" t="s">
        <v>57</v>
      </c>
      <c r="G55" s="5" t="s">
        <v>49</v>
      </c>
      <c r="H55" s="5"/>
    </row>
    <row r="56" spans="1:8" x14ac:dyDescent="0.25">
      <c r="A56" s="5">
        <v>38</v>
      </c>
      <c r="B56" s="6" t="s">
        <v>200</v>
      </c>
      <c r="C56" s="6" t="s">
        <v>27</v>
      </c>
      <c r="D56" s="5" t="s">
        <v>178</v>
      </c>
      <c r="E56" s="10">
        <v>6.2349537037037044E-2</v>
      </c>
      <c r="F56" s="5" t="s">
        <v>179</v>
      </c>
      <c r="G56" s="5" t="s">
        <v>84</v>
      </c>
      <c r="H56" s="5"/>
    </row>
    <row r="57" spans="1:8" x14ac:dyDescent="0.25">
      <c r="A57" s="5">
        <v>39</v>
      </c>
      <c r="B57" s="6" t="s">
        <v>210</v>
      </c>
      <c r="C57" s="6" t="s">
        <v>27</v>
      </c>
      <c r="D57" s="5" t="s">
        <v>180</v>
      </c>
      <c r="E57" s="10">
        <v>6.2476851851851846E-2</v>
      </c>
      <c r="F57" s="5" t="s">
        <v>181</v>
      </c>
      <c r="G57" s="5" t="s">
        <v>49</v>
      </c>
      <c r="H57" s="5"/>
    </row>
    <row r="58" spans="1:8" x14ac:dyDescent="0.25">
      <c r="A58" s="5">
        <v>40</v>
      </c>
      <c r="B58" s="6" t="s">
        <v>211</v>
      </c>
      <c r="C58" s="6" t="s">
        <v>9</v>
      </c>
      <c r="D58" s="5" t="s">
        <v>182</v>
      </c>
      <c r="E58" s="10">
        <v>6.2569444444444441E-2</v>
      </c>
      <c r="F58" s="5" t="s">
        <v>183</v>
      </c>
      <c r="G58" s="5" t="s">
        <v>49</v>
      </c>
      <c r="H58" s="5"/>
    </row>
    <row r="59" spans="1:8" x14ac:dyDescent="0.25">
      <c r="A59" s="5">
        <v>41</v>
      </c>
      <c r="B59" s="6" t="s">
        <v>212</v>
      </c>
      <c r="C59" s="6" t="s">
        <v>26</v>
      </c>
      <c r="D59" s="5" t="s">
        <v>184</v>
      </c>
      <c r="E59" s="10">
        <v>6.2743055555555552E-2</v>
      </c>
      <c r="F59" s="5" t="s">
        <v>185</v>
      </c>
      <c r="G59" s="5" t="s">
        <v>49</v>
      </c>
      <c r="H59" s="5"/>
    </row>
    <row r="60" spans="1:8" x14ac:dyDescent="0.25">
      <c r="A60" s="5">
        <v>42</v>
      </c>
      <c r="B60" s="6" t="s">
        <v>201</v>
      </c>
      <c r="C60" s="6" t="s">
        <v>9</v>
      </c>
      <c r="D60" s="5" t="s">
        <v>186</v>
      </c>
      <c r="E60" s="10">
        <v>6.5219907407407407E-2</v>
      </c>
      <c r="F60" s="5" t="s">
        <v>187</v>
      </c>
      <c r="G60" s="5" t="s">
        <v>84</v>
      </c>
      <c r="H60" s="5"/>
    </row>
    <row r="61" spans="1:8" x14ac:dyDescent="0.25">
      <c r="A61" s="5">
        <v>43</v>
      </c>
      <c r="B61" s="6" t="s">
        <v>213</v>
      </c>
      <c r="C61" s="6" t="s">
        <v>27</v>
      </c>
      <c r="D61" s="5" t="s">
        <v>188</v>
      </c>
      <c r="E61" s="10">
        <v>6.6886574074074071E-2</v>
      </c>
      <c r="F61" s="5" t="s">
        <v>62</v>
      </c>
      <c r="G61" s="5" t="s">
        <v>84</v>
      </c>
      <c r="H61" s="5"/>
    </row>
    <row r="62" spans="1:8" x14ac:dyDescent="0.25">
      <c r="A62" s="5">
        <v>44</v>
      </c>
      <c r="B62" s="6" t="s">
        <v>214</v>
      </c>
      <c r="C62" s="6" t="s">
        <v>9</v>
      </c>
      <c r="D62" s="5" t="s">
        <v>189</v>
      </c>
      <c r="E62" s="10">
        <v>6.7604166666666674E-2</v>
      </c>
      <c r="F62" s="5" t="s">
        <v>190</v>
      </c>
      <c r="G62" s="5" t="s">
        <v>49</v>
      </c>
      <c r="H62" s="5"/>
    </row>
    <row r="63" spans="1:8" x14ac:dyDescent="0.25">
      <c r="A63" s="5">
        <v>45</v>
      </c>
      <c r="B63" s="6" t="s">
        <v>215</v>
      </c>
      <c r="C63" s="6" t="s">
        <v>11</v>
      </c>
      <c r="D63" s="5" t="s">
        <v>191</v>
      </c>
      <c r="E63" s="10">
        <v>6.8159722222222219E-2</v>
      </c>
      <c r="F63" s="5" t="s">
        <v>192</v>
      </c>
      <c r="G63" s="5" t="s">
        <v>49</v>
      </c>
      <c r="H63" s="5"/>
    </row>
    <row r="64" spans="1:8" x14ac:dyDescent="0.25">
      <c r="A64" s="5">
        <v>46</v>
      </c>
      <c r="B64" s="6" t="s">
        <v>216</v>
      </c>
      <c r="C64" s="6" t="s">
        <v>29</v>
      </c>
      <c r="D64" s="5">
        <v>199</v>
      </c>
      <c r="E64" s="10">
        <v>7.3055555555555554E-2</v>
      </c>
      <c r="F64" s="5" t="s">
        <v>193</v>
      </c>
      <c r="G64" s="5" t="s">
        <v>84</v>
      </c>
      <c r="H64" s="5"/>
    </row>
    <row r="65" spans="1:8" x14ac:dyDescent="0.25">
      <c r="A65" s="5">
        <v>47</v>
      </c>
      <c r="B65" s="6" t="s">
        <v>202</v>
      </c>
      <c r="C65" s="6" t="s">
        <v>26</v>
      </c>
      <c r="D65" s="5">
        <v>113</v>
      </c>
      <c r="E65" s="10">
        <v>8.0949074074074076E-2</v>
      </c>
      <c r="F65" s="5" t="s">
        <v>67</v>
      </c>
      <c r="G65" s="5" t="s">
        <v>84</v>
      </c>
      <c r="H65" s="5"/>
    </row>
    <row r="66" spans="1:8" x14ac:dyDescent="0.25">
      <c r="A66" s="5">
        <v>48</v>
      </c>
      <c r="B66" s="6" t="s">
        <v>217</v>
      </c>
      <c r="C66" s="6" t="s">
        <v>29</v>
      </c>
      <c r="D66" s="5">
        <v>139</v>
      </c>
      <c r="E66" s="10">
        <v>8.6099537037037044E-2</v>
      </c>
      <c r="F66" s="5" t="s">
        <v>194</v>
      </c>
      <c r="G66" s="5" t="s">
        <v>84</v>
      </c>
      <c r="H66" s="5"/>
    </row>
    <row r="67" spans="1:8" x14ac:dyDescent="0.25">
      <c r="A67" s="5">
        <v>49</v>
      </c>
      <c r="B67" s="6" t="s">
        <v>218</v>
      </c>
      <c r="C67" s="6" t="s">
        <v>29</v>
      </c>
      <c r="D67" s="5">
        <v>119</v>
      </c>
      <c r="E67" s="10">
        <v>0.10263888888888889</v>
      </c>
      <c r="F67" s="5" t="s">
        <v>195</v>
      </c>
      <c r="G67" s="5" t="s">
        <v>84</v>
      </c>
      <c r="H67" s="5"/>
    </row>
    <row r="69" spans="1:8" x14ac:dyDescent="0.25">
      <c r="B69" s="1" t="s">
        <v>132</v>
      </c>
      <c r="C69" s="1"/>
    </row>
    <row r="70" spans="1:8" x14ac:dyDescent="0.25">
      <c r="B70" s="1" t="s">
        <v>219</v>
      </c>
      <c r="C70" s="1"/>
    </row>
    <row r="71" spans="1:8" x14ac:dyDescent="0.25">
      <c r="B71" s="1" t="s">
        <v>133</v>
      </c>
      <c r="C71" s="1"/>
    </row>
    <row r="72" spans="1:8" x14ac:dyDescent="0.25">
      <c r="B72" s="1" t="s">
        <v>220</v>
      </c>
      <c r="C72" s="1"/>
    </row>
    <row r="73" spans="1:8" x14ac:dyDescent="0.25">
      <c r="B73" s="1"/>
      <c r="C73" s="1"/>
    </row>
    <row r="74" spans="1:8" x14ac:dyDescent="0.25">
      <c r="B74" s="1"/>
      <c r="C74" s="1"/>
    </row>
    <row r="75" spans="1:8" x14ac:dyDescent="0.25">
      <c r="B75" s="2" t="s">
        <v>30</v>
      </c>
      <c r="C75" s="2" t="s">
        <v>32</v>
      </c>
    </row>
    <row r="76" spans="1:8" x14ac:dyDescent="0.25">
      <c r="B76" s="2" t="s">
        <v>31</v>
      </c>
      <c r="C76" s="2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F24"/>
  <sheetViews>
    <sheetView workbookViewId="0">
      <selection activeCell="B23" sqref="B23:C24"/>
    </sheetView>
  </sheetViews>
  <sheetFormatPr defaultRowHeight="13.2" x14ac:dyDescent="0.25"/>
  <cols>
    <col min="1" max="1" width="10" style="1" customWidth="1"/>
    <col min="2" max="2" width="18.44140625" style="1" customWidth="1"/>
    <col min="3" max="3" width="11.33203125" style="1" customWidth="1"/>
    <col min="4" max="5" width="9.88671875" style="1" customWidth="1"/>
    <col min="6" max="6" width="12.6640625" style="1" customWidth="1"/>
    <col min="7" max="7" width="23.109375" style="1"/>
    <col min="8" max="8" width="11.44140625" style="1"/>
    <col min="9" max="9" width="13.44140625" style="1"/>
    <col min="10" max="10" width="28" style="1"/>
    <col min="11" max="11" width="11" style="1"/>
    <col min="12" max="12" width="10" style="1"/>
    <col min="13" max="13" width="17.33203125" style="1"/>
    <col min="14" max="16384" width="8.88671875" style="1"/>
  </cols>
  <sheetData>
    <row r="1" spans="1:6" x14ac:dyDescent="0.25">
      <c r="A1" s="2" t="s">
        <v>13</v>
      </c>
    </row>
    <row r="2" spans="1:6" x14ac:dyDescent="0.25">
      <c r="A2" s="2" t="s">
        <v>14</v>
      </c>
    </row>
    <row r="3" spans="1:6" x14ac:dyDescent="0.25">
      <c r="A3" s="2"/>
    </row>
    <row r="4" spans="1:6" x14ac:dyDescent="0.25">
      <c r="A4" s="2" t="s">
        <v>34</v>
      </c>
    </row>
    <row r="5" spans="1:6" x14ac:dyDescent="0.25">
      <c r="A5" s="2" t="s">
        <v>35</v>
      </c>
    </row>
    <row r="6" spans="1:6" x14ac:dyDescent="0.25">
      <c r="A6" s="2" t="s">
        <v>36</v>
      </c>
    </row>
    <row r="7" spans="1:6" x14ac:dyDescent="0.25">
      <c r="A7" s="2" t="s">
        <v>16</v>
      </c>
    </row>
    <row r="9" spans="1:6" x14ac:dyDescent="0.25">
      <c r="A9" s="1" t="s">
        <v>42</v>
      </c>
    </row>
    <row r="12" spans="1:6" x14ac:dyDescent="0.25">
      <c r="A12" s="4" t="s">
        <v>17</v>
      </c>
      <c r="B12" s="4" t="s">
        <v>1</v>
      </c>
      <c r="C12" s="4" t="s">
        <v>38</v>
      </c>
      <c r="D12" s="4" t="s">
        <v>22</v>
      </c>
      <c r="E12" s="4" t="s">
        <v>39</v>
      </c>
      <c r="F12" s="4" t="s">
        <v>23</v>
      </c>
    </row>
    <row r="13" spans="1:6" x14ac:dyDescent="0.25">
      <c r="A13" s="5">
        <v>1</v>
      </c>
      <c r="B13" s="11" t="s">
        <v>27</v>
      </c>
      <c r="C13" s="10">
        <v>4.9583333333333333E-2</v>
      </c>
      <c r="D13" s="5">
        <v>1</v>
      </c>
      <c r="E13" s="7">
        <v>0.25</v>
      </c>
      <c r="F13" s="11"/>
    </row>
    <row r="14" spans="1:6" x14ac:dyDescent="0.25">
      <c r="A14" s="5">
        <v>2</v>
      </c>
      <c r="B14" s="11" t="s">
        <v>10</v>
      </c>
      <c r="C14" s="10">
        <v>5.244212962962963E-2</v>
      </c>
      <c r="D14" s="5">
        <v>2</v>
      </c>
      <c r="E14" s="7">
        <v>0.5</v>
      </c>
      <c r="F14" s="11"/>
    </row>
    <row r="15" spans="1:6" x14ac:dyDescent="0.25">
      <c r="A15" s="5">
        <v>3</v>
      </c>
      <c r="B15" s="11" t="s">
        <v>11</v>
      </c>
      <c r="C15" s="10">
        <v>5.3275462962962962E-2</v>
      </c>
      <c r="D15" s="5">
        <v>3</v>
      </c>
      <c r="E15" s="7">
        <v>0.75</v>
      </c>
      <c r="F15" s="11"/>
    </row>
    <row r="16" spans="1:6" x14ac:dyDescent="0.25">
      <c r="A16" s="5">
        <v>4</v>
      </c>
      <c r="B16" s="11" t="s">
        <v>28</v>
      </c>
      <c r="C16" s="10">
        <v>5.5706018518518523E-2</v>
      </c>
      <c r="D16" s="5">
        <v>4</v>
      </c>
      <c r="E16" s="7">
        <v>1</v>
      </c>
      <c r="F16" s="11"/>
    </row>
    <row r="17" spans="1:6" x14ac:dyDescent="0.25">
      <c r="A17" s="5">
        <v>5</v>
      </c>
      <c r="B17" s="11" t="s">
        <v>7</v>
      </c>
      <c r="C17" s="10">
        <v>5.5949074074074075E-2</v>
      </c>
      <c r="D17" s="5">
        <v>5</v>
      </c>
      <c r="E17" s="7">
        <v>1.25</v>
      </c>
      <c r="F17" s="11"/>
    </row>
    <row r="18" spans="1:6" x14ac:dyDescent="0.25">
      <c r="A18" s="5">
        <v>6</v>
      </c>
      <c r="B18" s="11" t="s">
        <v>12</v>
      </c>
      <c r="C18" s="10">
        <v>5.7743055555555554E-2</v>
      </c>
      <c r="D18" s="5">
        <v>6</v>
      </c>
      <c r="E18" s="7">
        <v>1.5</v>
      </c>
      <c r="F18" s="11"/>
    </row>
    <row r="19" spans="1:6" x14ac:dyDescent="0.25">
      <c r="A19" s="5">
        <v>7</v>
      </c>
      <c r="B19" s="11" t="s">
        <v>9</v>
      </c>
      <c r="C19" s="10">
        <v>6.6354166666666659E-2</v>
      </c>
      <c r="D19" s="5">
        <v>7</v>
      </c>
      <c r="E19" s="7">
        <v>1.75</v>
      </c>
      <c r="F19" s="11"/>
    </row>
    <row r="20" spans="1:6" x14ac:dyDescent="0.25">
      <c r="A20" s="5">
        <v>8</v>
      </c>
      <c r="B20" s="11" t="s">
        <v>29</v>
      </c>
      <c r="C20" s="10">
        <v>6.7384259259259269E-2</v>
      </c>
      <c r="D20" s="5">
        <v>8</v>
      </c>
      <c r="E20" s="7">
        <v>2</v>
      </c>
      <c r="F20" s="11"/>
    </row>
    <row r="21" spans="1:6" x14ac:dyDescent="0.25">
      <c r="A21" s="5">
        <v>9</v>
      </c>
      <c r="B21" s="11" t="s">
        <v>26</v>
      </c>
      <c r="C21" s="10">
        <v>7.6307870370370359E-2</v>
      </c>
      <c r="D21" s="5">
        <v>9</v>
      </c>
      <c r="E21" s="7" t="s">
        <v>8</v>
      </c>
      <c r="F21" s="11"/>
    </row>
    <row r="23" spans="1:6" x14ac:dyDescent="0.25">
      <c r="B23" s="2" t="s">
        <v>30</v>
      </c>
      <c r="C23" s="2" t="s">
        <v>32</v>
      </c>
    </row>
    <row r="24" spans="1:6" x14ac:dyDescent="0.25">
      <c r="B24" s="2" t="s">
        <v>31</v>
      </c>
      <c r="C24" s="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H47"/>
  <sheetViews>
    <sheetView topLeftCell="A10" workbookViewId="0">
      <selection activeCell="B19" sqref="B19:G38"/>
    </sheetView>
  </sheetViews>
  <sheetFormatPr defaultRowHeight="13.2" x14ac:dyDescent="0.25"/>
  <cols>
    <col min="1" max="1" width="10.44140625" style="1" customWidth="1"/>
    <col min="2" max="2" width="30.33203125" style="1" customWidth="1"/>
    <col min="3" max="3" width="23.33203125" style="1" customWidth="1"/>
    <col min="4" max="5" width="10.44140625" style="9" customWidth="1"/>
    <col min="6" max="7" width="13.109375" style="9" customWidth="1"/>
    <col min="8" max="8" width="15.77734375" style="9" customWidth="1"/>
    <col min="9" max="9" width="13.44140625" style="1"/>
    <col min="10" max="10" width="28" style="1"/>
    <col min="11" max="11" width="11" style="1"/>
    <col min="12" max="12" width="10" style="1"/>
    <col min="13" max="13" width="17.33203125" style="1"/>
    <col min="14" max="16384" width="8.88671875" style="1"/>
  </cols>
  <sheetData>
    <row r="1" spans="1:8" x14ac:dyDescent="0.25">
      <c r="A1" s="2" t="s">
        <v>13</v>
      </c>
      <c r="D1" s="3"/>
      <c r="E1" s="3"/>
      <c r="F1" s="3"/>
      <c r="G1" s="3"/>
      <c r="H1" s="3"/>
    </row>
    <row r="2" spans="1:8" x14ac:dyDescent="0.25">
      <c r="A2" s="2" t="s">
        <v>14</v>
      </c>
      <c r="D2" s="3"/>
      <c r="E2" s="3"/>
      <c r="F2" s="3"/>
      <c r="G2" s="3"/>
      <c r="H2" s="3"/>
    </row>
    <row r="3" spans="1:8" x14ac:dyDescent="0.25">
      <c r="D3" s="3"/>
      <c r="E3" s="3"/>
      <c r="F3" s="3"/>
      <c r="G3" s="3"/>
      <c r="H3" s="3"/>
    </row>
    <row r="4" spans="1:8" x14ac:dyDescent="0.25">
      <c r="A4" s="1" t="s">
        <v>44</v>
      </c>
      <c r="D4" s="3"/>
      <c r="E4" s="3"/>
      <c r="F4" s="3"/>
      <c r="G4" s="3"/>
      <c r="H4" s="3"/>
    </row>
    <row r="5" spans="1:8" x14ac:dyDescent="0.25">
      <c r="A5" s="1" t="s">
        <v>41</v>
      </c>
      <c r="D5" s="3"/>
      <c r="E5" s="3"/>
      <c r="F5" s="3"/>
      <c r="G5" s="3"/>
      <c r="H5" s="3"/>
    </row>
    <row r="6" spans="1:8" x14ac:dyDescent="0.25">
      <c r="D6" s="3"/>
      <c r="E6" s="3"/>
      <c r="F6" s="3"/>
      <c r="G6" s="3"/>
      <c r="H6" s="3"/>
    </row>
    <row r="7" spans="1:8" x14ac:dyDescent="0.25">
      <c r="A7" s="1" t="s">
        <v>248</v>
      </c>
      <c r="D7" s="3"/>
      <c r="E7" s="3"/>
      <c r="F7" s="3"/>
      <c r="G7" s="3"/>
      <c r="H7" s="3"/>
    </row>
    <row r="8" spans="1:8" x14ac:dyDescent="0.25">
      <c r="A8" s="1" t="s">
        <v>141</v>
      </c>
      <c r="D8" s="3"/>
      <c r="E8" s="3"/>
      <c r="F8" s="3"/>
      <c r="G8" s="3"/>
      <c r="H8" s="3"/>
    </row>
    <row r="9" spans="1:8" x14ac:dyDescent="0.25">
      <c r="A9" s="1" t="s">
        <v>77</v>
      </c>
      <c r="D9" s="3"/>
      <c r="E9" s="3"/>
      <c r="F9" s="3"/>
      <c r="G9" s="3"/>
      <c r="H9" s="3"/>
    </row>
    <row r="10" spans="1:8" x14ac:dyDescent="0.25">
      <c r="D10" s="3"/>
      <c r="E10" s="3"/>
      <c r="F10" s="3"/>
      <c r="G10" s="3"/>
      <c r="H10" s="3"/>
    </row>
    <row r="11" spans="1:8" x14ac:dyDescent="0.25">
      <c r="A11" s="1" t="s">
        <v>249</v>
      </c>
      <c r="D11" s="3"/>
      <c r="E11" s="3"/>
      <c r="F11" s="3"/>
      <c r="G11" s="3"/>
      <c r="H11" s="3"/>
    </row>
    <row r="12" spans="1:8" x14ac:dyDescent="0.25">
      <c r="D12" s="3"/>
      <c r="E12" s="3"/>
      <c r="F12" s="3"/>
      <c r="G12" s="3"/>
      <c r="H12" s="3"/>
    </row>
    <row r="13" spans="1:8" x14ac:dyDescent="0.25">
      <c r="A13" s="2" t="s">
        <v>36</v>
      </c>
      <c r="D13" s="3"/>
      <c r="E13" s="3"/>
      <c r="F13" s="3"/>
      <c r="G13" s="3"/>
      <c r="H13" s="3"/>
    </row>
    <row r="14" spans="1:8" x14ac:dyDescent="0.25">
      <c r="A14" s="2" t="s">
        <v>16</v>
      </c>
      <c r="D14" s="3"/>
      <c r="E14" s="3"/>
      <c r="F14" s="3"/>
      <c r="G14" s="3"/>
      <c r="H14" s="3"/>
    </row>
    <row r="15" spans="1:8" x14ac:dyDescent="0.25">
      <c r="D15" s="3"/>
      <c r="E15" s="3"/>
      <c r="F15" s="3"/>
      <c r="G15" s="3"/>
      <c r="H15" s="3"/>
    </row>
    <row r="16" spans="1:8" x14ac:dyDescent="0.25">
      <c r="A16" s="1" t="s">
        <v>250</v>
      </c>
      <c r="D16" s="3"/>
      <c r="E16" s="3"/>
      <c r="F16" s="3"/>
      <c r="G16" s="3"/>
      <c r="H16" s="3"/>
    </row>
    <row r="17" spans="1:8" x14ac:dyDescent="0.25">
      <c r="D17" s="3"/>
      <c r="E17" s="3"/>
      <c r="F17" s="3"/>
      <c r="G17" s="3"/>
      <c r="H17" s="3"/>
    </row>
    <row r="18" spans="1:8" ht="26.4" x14ac:dyDescent="0.25">
      <c r="A18" s="4" t="s">
        <v>17</v>
      </c>
      <c r="B18" s="4" t="s">
        <v>80</v>
      </c>
      <c r="C18" s="4" t="s">
        <v>1</v>
      </c>
      <c r="D18" s="4" t="s">
        <v>81</v>
      </c>
      <c r="E18" s="4" t="s">
        <v>38</v>
      </c>
      <c r="F18" s="4" t="s">
        <v>22</v>
      </c>
      <c r="G18" s="4" t="s">
        <v>82</v>
      </c>
      <c r="H18" s="4" t="s">
        <v>83</v>
      </c>
    </row>
    <row r="19" spans="1:8" x14ac:dyDescent="0.25">
      <c r="A19" s="5">
        <v>1</v>
      </c>
      <c r="B19" s="11" t="s">
        <v>251</v>
      </c>
      <c r="C19" s="11" t="s">
        <v>27</v>
      </c>
      <c r="D19" s="16">
        <v>205</v>
      </c>
      <c r="E19" s="17">
        <v>4.9583333333333333E-2</v>
      </c>
      <c r="F19" s="5">
        <v>1</v>
      </c>
      <c r="G19" s="16" t="s">
        <v>84</v>
      </c>
      <c r="H19" s="16" t="s">
        <v>84</v>
      </c>
    </row>
    <row r="20" spans="1:8" x14ac:dyDescent="0.25">
      <c r="A20" s="5">
        <v>2</v>
      </c>
      <c r="B20" s="11" t="s">
        <v>252</v>
      </c>
      <c r="C20" s="11" t="s">
        <v>10</v>
      </c>
      <c r="D20" s="16">
        <v>215</v>
      </c>
      <c r="E20" s="17">
        <v>5.244212962962963E-2</v>
      </c>
      <c r="F20" s="5">
        <v>2</v>
      </c>
      <c r="G20" s="16" t="s">
        <v>84</v>
      </c>
      <c r="H20" s="16" t="s">
        <v>84</v>
      </c>
    </row>
    <row r="21" spans="1:8" x14ac:dyDescent="0.25">
      <c r="A21" s="5">
        <v>3</v>
      </c>
      <c r="B21" s="11" t="s">
        <v>221</v>
      </c>
      <c r="C21" s="11" t="s">
        <v>11</v>
      </c>
      <c r="D21" s="16" t="s">
        <v>222</v>
      </c>
      <c r="E21" s="18">
        <v>5.3275462962962962E-2</v>
      </c>
      <c r="F21" s="5">
        <v>3</v>
      </c>
      <c r="G21" s="16" t="s">
        <v>84</v>
      </c>
      <c r="H21" s="16" t="s">
        <v>6</v>
      </c>
    </row>
    <row r="22" spans="1:8" x14ac:dyDescent="0.25">
      <c r="A22" s="5">
        <v>4</v>
      </c>
      <c r="B22" s="11" t="s">
        <v>253</v>
      </c>
      <c r="C22" s="11" t="s">
        <v>10</v>
      </c>
      <c r="D22" s="16" t="s">
        <v>223</v>
      </c>
      <c r="E22" s="18">
        <v>5.3587962962962969E-2</v>
      </c>
      <c r="F22" s="5">
        <v>4</v>
      </c>
      <c r="G22" s="16" t="s">
        <v>84</v>
      </c>
      <c r="H22" s="16" t="s">
        <v>6</v>
      </c>
    </row>
    <row r="23" spans="1:8" x14ac:dyDescent="0.25">
      <c r="A23" s="5">
        <v>5</v>
      </c>
      <c r="B23" s="11" t="s">
        <v>224</v>
      </c>
      <c r="C23" s="11" t="s">
        <v>28</v>
      </c>
      <c r="D23" s="16" t="s">
        <v>225</v>
      </c>
      <c r="E23" s="18">
        <v>5.5706018518518523E-2</v>
      </c>
      <c r="F23" s="5">
        <v>5</v>
      </c>
      <c r="G23" s="16" t="s">
        <v>84</v>
      </c>
      <c r="H23" s="16" t="s">
        <v>6</v>
      </c>
    </row>
    <row r="24" spans="1:8" x14ac:dyDescent="0.25">
      <c r="A24" s="5">
        <v>6</v>
      </c>
      <c r="B24" s="11" t="s">
        <v>254</v>
      </c>
      <c r="C24" s="11" t="s">
        <v>27</v>
      </c>
      <c r="D24" s="16" t="s">
        <v>226</v>
      </c>
      <c r="E24" s="18">
        <v>5.5879629629629633E-2</v>
      </c>
      <c r="F24" s="5">
        <v>6</v>
      </c>
      <c r="G24" s="16" t="s">
        <v>84</v>
      </c>
      <c r="H24" s="16" t="s">
        <v>6</v>
      </c>
    </row>
    <row r="25" spans="1:8" x14ac:dyDescent="0.25">
      <c r="A25" s="5">
        <v>7</v>
      </c>
      <c r="B25" s="11" t="s">
        <v>255</v>
      </c>
      <c r="C25" s="11" t="s">
        <v>7</v>
      </c>
      <c r="D25" s="16" t="s">
        <v>227</v>
      </c>
      <c r="E25" s="18">
        <v>5.5949074074074075E-2</v>
      </c>
      <c r="F25" s="5">
        <v>7</v>
      </c>
      <c r="G25" s="16" t="s">
        <v>84</v>
      </c>
      <c r="H25" s="16" t="s">
        <v>6</v>
      </c>
    </row>
    <row r="26" spans="1:8" x14ac:dyDescent="0.25">
      <c r="A26" s="5">
        <v>8</v>
      </c>
      <c r="B26" s="11" t="s">
        <v>228</v>
      </c>
      <c r="C26" s="11" t="s">
        <v>7</v>
      </c>
      <c r="D26" s="16" t="s">
        <v>229</v>
      </c>
      <c r="E26" s="18">
        <v>5.6192129629629634E-2</v>
      </c>
      <c r="F26" s="5">
        <v>8</v>
      </c>
      <c r="G26" s="16" t="s">
        <v>84</v>
      </c>
      <c r="H26" s="16" t="s">
        <v>6</v>
      </c>
    </row>
    <row r="27" spans="1:8" x14ac:dyDescent="0.25">
      <c r="A27" s="5">
        <v>9</v>
      </c>
      <c r="B27" s="11" t="s">
        <v>230</v>
      </c>
      <c r="C27" s="11" t="s">
        <v>7</v>
      </c>
      <c r="D27" s="16" t="s">
        <v>231</v>
      </c>
      <c r="E27" s="18">
        <v>5.6886574074074076E-2</v>
      </c>
      <c r="F27" s="16" t="s">
        <v>74</v>
      </c>
      <c r="G27" s="16" t="s">
        <v>84</v>
      </c>
      <c r="H27" s="16" t="s">
        <v>6</v>
      </c>
    </row>
    <row r="28" spans="1:8" x14ac:dyDescent="0.25">
      <c r="A28" s="5">
        <v>10</v>
      </c>
      <c r="B28" s="11" t="s">
        <v>256</v>
      </c>
      <c r="C28" s="11" t="s">
        <v>12</v>
      </c>
      <c r="D28" s="16" t="s">
        <v>232</v>
      </c>
      <c r="E28" s="18">
        <v>5.7743055555555554E-2</v>
      </c>
      <c r="F28" s="5">
        <v>9</v>
      </c>
      <c r="G28" s="16" t="s">
        <v>84</v>
      </c>
      <c r="H28" s="16" t="s">
        <v>6</v>
      </c>
    </row>
    <row r="29" spans="1:8" x14ac:dyDescent="0.25">
      <c r="A29" s="5">
        <v>11</v>
      </c>
      <c r="B29" s="11" t="s">
        <v>257</v>
      </c>
      <c r="C29" s="11" t="s">
        <v>11</v>
      </c>
      <c r="D29" s="16" t="s">
        <v>233</v>
      </c>
      <c r="E29" s="18">
        <v>5.8182870370370371E-2</v>
      </c>
      <c r="F29" s="5">
        <v>10</v>
      </c>
      <c r="G29" s="16" t="s">
        <v>84</v>
      </c>
      <c r="H29" s="16" t="s">
        <v>6</v>
      </c>
    </row>
    <row r="30" spans="1:8" x14ac:dyDescent="0.25">
      <c r="A30" s="5">
        <v>12</v>
      </c>
      <c r="B30" s="11" t="s">
        <v>234</v>
      </c>
      <c r="C30" s="11" t="s">
        <v>28</v>
      </c>
      <c r="D30" s="16" t="s">
        <v>235</v>
      </c>
      <c r="E30" s="18">
        <v>5.8391203703703702E-2</v>
      </c>
      <c r="F30" s="5">
        <v>11</v>
      </c>
      <c r="G30" s="16" t="s">
        <v>84</v>
      </c>
      <c r="H30" s="16" t="s">
        <v>6</v>
      </c>
    </row>
    <row r="31" spans="1:8" x14ac:dyDescent="0.25">
      <c r="A31" s="5">
        <v>13</v>
      </c>
      <c r="B31" s="11" t="s">
        <v>258</v>
      </c>
      <c r="C31" s="11" t="s">
        <v>25</v>
      </c>
      <c r="D31" s="16" t="s">
        <v>236</v>
      </c>
      <c r="E31" s="18">
        <v>6.3692129629629626E-2</v>
      </c>
      <c r="F31" s="16" t="s">
        <v>74</v>
      </c>
      <c r="G31" s="16" t="s">
        <v>84</v>
      </c>
      <c r="H31" s="16"/>
    </row>
    <row r="32" spans="1:8" x14ac:dyDescent="0.25">
      <c r="A32" s="5">
        <v>14</v>
      </c>
      <c r="B32" s="11" t="s">
        <v>237</v>
      </c>
      <c r="C32" s="11" t="s">
        <v>9</v>
      </c>
      <c r="D32" s="16" t="s">
        <v>238</v>
      </c>
      <c r="E32" s="18">
        <v>6.6238425925925923E-2</v>
      </c>
      <c r="F32" s="5">
        <v>12</v>
      </c>
      <c r="G32" s="16" t="s">
        <v>84</v>
      </c>
      <c r="H32" s="16"/>
    </row>
    <row r="33" spans="1:8" x14ac:dyDescent="0.25">
      <c r="A33" s="5">
        <v>15</v>
      </c>
      <c r="B33" s="11" t="s">
        <v>259</v>
      </c>
      <c r="C33" s="11" t="s">
        <v>29</v>
      </c>
      <c r="D33" s="16" t="s">
        <v>239</v>
      </c>
      <c r="E33" s="18">
        <v>6.7384259259259269E-2</v>
      </c>
      <c r="F33" s="5">
        <v>13</v>
      </c>
      <c r="G33" s="16" t="s">
        <v>6</v>
      </c>
      <c r="H33" s="16"/>
    </row>
    <row r="34" spans="1:8" x14ac:dyDescent="0.25">
      <c r="A34" s="5">
        <v>16</v>
      </c>
      <c r="B34" s="11" t="s">
        <v>260</v>
      </c>
      <c r="C34" s="11" t="s">
        <v>9</v>
      </c>
      <c r="D34" s="16" t="s">
        <v>240</v>
      </c>
      <c r="E34" s="18">
        <v>6.9652777777777772E-2</v>
      </c>
      <c r="F34" s="5">
        <v>14</v>
      </c>
      <c r="G34" s="16" t="s">
        <v>84</v>
      </c>
      <c r="H34" s="16"/>
    </row>
    <row r="35" spans="1:8" x14ac:dyDescent="0.25">
      <c r="A35" s="5">
        <v>17</v>
      </c>
      <c r="B35" s="11" t="s">
        <v>241</v>
      </c>
      <c r="C35" s="11" t="s">
        <v>26</v>
      </c>
      <c r="D35" s="16" t="s">
        <v>242</v>
      </c>
      <c r="E35" s="18">
        <v>7.6307870370370359E-2</v>
      </c>
      <c r="F35" s="5">
        <v>15</v>
      </c>
      <c r="G35" s="16" t="s">
        <v>84</v>
      </c>
      <c r="H35" s="16"/>
    </row>
    <row r="36" spans="1:8" x14ac:dyDescent="0.25">
      <c r="A36" s="5">
        <v>18</v>
      </c>
      <c r="B36" s="11" t="s">
        <v>243</v>
      </c>
      <c r="C36" s="11" t="s">
        <v>26</v>
      </c>
      <c r="D36" s="16" t="s">
        <v>244</v>
      </c>
      <c r="E36" s="18">
        <v>7.7314814814814822E-2</v>
      </c>
      <c r="F36" s="5">
        <v>16</v>
      </c>
      <c r="G36" s="16" t="s">
        <v>84</v>
      </c>
      <c r="H36" s="16"/>
    </row>
    <row r="37" spans="1:8" x14ac:dyDescent="0.25">
      <c r="A37" s="5">
        <v>19</v>
      </c>
      <c r="B37" s="11" t="s">
        <v>261</v>
      </c>
      <c r="C37" s="11" t="s">
        <v>12</v>
      </c>
      <c r="D37" s="16" t="s">
        <v>245</v>
      </c>
      <c r="E37" s="18">
        <v>7.7835648148148154E-2</v>
      </c>
      <c r="F37" s="5">
        <v>17</v>
      </c>
      <c r="G37" s="16" t="s">
        <v>84</v>
      </c>
      <c r="H37" s="16"/>
    </row>
    <row r="38" spans="1:8" x14ac:dyDescent="0.25">
      <c r="A38" s="5">
        <v>20</v>
      </c>
      <c r="B38" s="11" t="s">
        <v>262</v>
      </c>
      <c r="C38" s="11" t="s">
        <v>29</v>
      </c>
      <c r="D38" s="16" t="s">
        <v>246</v>
      </c>
      <c r="E38" s="16" t="s">
        <v>109</v>
      </c>
      <c r="F38" s="5">
        <v>18</v>
      </c>
      <c r="G38" s="16"/>
      <c r="H38" s="16"/>
    </row>
    <row r="39" spans="1:8" x14ac:dyDescent="0.25">
      <c r="F39" s="3"/>
    </row>
    <row r="40" spans="1:8" x14ac:dyDescent="0.25">
      <c r="B40" s="1" t="s">
        <v>132</v>
      </c>
      <c r="F40" s="3"/>
    </row>
    <row r="41" spans="1:8" x14ac:dyDescent="0.25">
      <c r="B41" s="1" t="s">
        <v>247</v>
      </c>
    </row>
    <row r="42" spans="1:8" x14ac:dyDescent="0.25">
      <c r="B42" s="1" t="s">
        <v>263</v>
      </c>
    </row>
    <row r="43" spans="1:8" x14ac:dyDescent="0.25">
      <c r="B43" s="1" t="s">
        <v>264</v>
      </c>
    </row>
    <row r="46" spans="1:8" x14ac:dyDescent="0.25">
      <c r="B46" s="2" t="s">
        <v>30</v>
      </c>
      <c r="C46" s="2" t="s">
        <v>32</v>
      </c>
    </row>
    <row r="47" spans="1:8" x14ac:dyDescent="0.25">
      <c r="B47" s="2" t="s">
        <v>31</v>
      </c>
      <c r="C47" s="2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F24"/>
  <sheetViews>
    <sheetView workbookViewId="0">
      <selection activeCell="B23" sqref="B23:C25"/>
    </sheetView>
  </sheetViews>
  <sheetFormatPr defaultColWidth="15.5546875" defaultRowHeight="13.2" x14ac:dyDescent="0.25"/>
  <cols>
    <col min="1" max="1" width="15.5546875" style="1"/>
    <col min="2" max="2" width="19.33203125" style="1" customWidth="1"/>
    <col min="3" max="3" width="15.5546875" style="1"/>
    <col min="4" max="4" width="10.33203125" style="1" customWidth="1"/>
    <col min="5" max="5" width="10.33203125" style="3" customWidth="1"/>
    <col min="6" max="16384" width="15.5546875" style="1"/>
  </cols>
  <sheetData>
    <row r="1" spans="1:6" x14ac:dyDescent="0.25">
      <c r="A1" s="2" t="s">
        <v>13</v>
      </c>
    </row>
    <row r="2" spans="1:6" x14ac:dyDescent="0.25">
      <c r="A2" s="2" t="s">
        <v>14</v>
      </c>
    </row>
    <row r="3" spans="1:6" x14ac:dyDescent="0.25">
      <c r="A3" s="2"/>
    </row>
    <row r="4" spans="1:6" x14ac:dyDescent="0.25">
      <c r="A4" s="2" t="s">
        <v>34</v>
      </c>
    </row>
    <row r="5" spans="1:6" x14ac:dyDescent="0.25">
      <c r="A5" s="2" t="s">
        <v>35</v>
      </c>
    </row>
    <row r="6" spans="1:6" x14ac:dyDescent="0.25">
      <c r="A6" s="2" t="s">
        <v>36</v>
      </c>
    </row>
    <row r="7" spans="1:6" x14ac:dyDescent="0.25">
      <c r="A7" s="2" t="s">
        <v>16</v>
      </c>
    </row>
    <row r="9" spans="1:6" x14ac:dyDescent="0.25">
      <c r="A9" s="1" t="s">
        <v>43</v>
      </c>
    </row>
    <row r="12" spans="1:6" ht="28.8" customHeight="1" x14ac:dyDescent="0.25">
      <c r="A12" s="4" t="s">
        <v>17</v>
      </c>
      <c r="B12" s="4" t="s">
        <v>1</v>
      </c>
      <c r="C12" s="4" t="s">
        <v>38</v>
      </c>
      <c r="D12" s="4" t="s">
        <v>22</v>
      </c>
      <c r="E12" s="4" t="s">
        <v>39</v>
      </c>
      <c r="F12" s="4" t="s">
        <v>23</v>
      </c>
    </row>
    <row r="13" spans="1:6" x14ac:dyDescent="0.25">
      <c r="A13" s="5">
        <v>1</v>
      </c>
      <c r="B13" s="11" t="s">
        <v>10</v>
      </c>
      <c r="C13" s="10">
        <v>3.2997685185185185E-2</v>
      </c>
      <c r="D13" s="5">
        <v>1</v>
      </c>
      <c r="E13" s="7">
        <v>0.25</v>
      </c>
      <c r="F13" s="11"/>
    </row>
    <row r="14" spans="1:6" x14ac:dyDescent="0.25">
      <c r="A14" s="5">
        <v>2</v>
      </c>
      <c r="B14" s="11" t="s">
        <v>9</v>
      </c>
      <c r="C14" s="10">
        <v>3.8958333333333338E-2</v>
      </c>
      <c r="D14" s="5">
        <v>2</v>
      </c>
      <c r="E14" s="7">
        <v>0.5</v>
      </c>
      <c r="F14" s="11"/>
    </row>
    <row r="15" spans="1:6" x14ac:dyDescent="0.25">
      <c r="A15" s="5">
        <v>3</v>
      </c>
      <c r="B15" s="11" t="s">
        <v>12</v>
      </c>
      <c r="C15" s="10">
        <v>3.8958333333333338E-2</v>
      </c>
      <c r="D15" s="5">
        <v>3</v>
      </c>
      <c r="E15" s="7">
        <v>0.5</v>
      </c>
      <c r="F15" s="11"/>
    </row>
    <row r="16" spans="1:6" x14ac:dyDescent="0.25">
      <c r="A16" s="5">
        <v>4</v>
      </c>
      <c r="B16" s="11" t="s">
        <v>7</v>
      </c>
      <c r="C16" s="10">
        <v>4.3969907407407409E-2</v>
      </c>
      <c r="D16" s="5">
        <v>4</v>
      </c>
      <c r="E16" s="7">
        <v>1</v>
      </c>
      <c r="F16" s="11"/>
    </row>
    <row r="17" spans="1:6" x14ac:dyDescent="0.25">
      <c r="A17" s="5">
        <v>5</v>
      </c>
      <c r="B17" s="11" t="s">
        <v>11</v>
      </c>
      <c r="C17" s="10">
        <v>5.0150462962962966E-2</v>
      </c>
      <c r="D17" s="5">
        <v>5</v>
      </c>
      <c r="E17" s="7">
        <v>1.25</v>
      </c>
      <c r="F17" s="11"/>
    </row>
    <row r="18" spans="1:6" x14ac:dyDescent="0.25">
      <c r="A18" s="5">
        <v>6</v>
      </c>
      <c r="B18" s="11" t="s">
        <v>26</v>
      </c>
      <c r="C18" s="10">
        <v>5.0520833333333327E-2</v>
      </c>
      <c r="D18" s="5">
        <v>6</v>
      </c>
      <c r="E18" s="7">
        <v>1.5</v>
      </c>
      <c r="F18" s="11"/>
    </row>
    <row r="19" spans="1:6" x14ac:dyDescent="0.25">
      <c r="A19" s="5">
        <v>7</v>
      </c>
      <c r="B19" s="11" t="s">
        <v>27</v>
      </c>
      <c r="C19" s="10">
        <v>5.0844907407407408E-2</v>
      </c>
      <c r="D19" s="5">
        <v>7</v>
      </c>
      <c r="E19" s="7">
        <v>1.75</v>
      </c>
      <c r="F19" s="11"/>
    </row>
    <row r="20" spans="1:6" x14ac:dyDescent="0.25">
      <c r="A20" s="5">
        <v>8</v>
      </c>
      <c r="B20" s="11" t="s">
        <v>29</v>
      </c>
      <c r="C20" s="10">
        <v>5.1481481481481482E-2</v>
      </c>
      <c r="D20" s="5">
        <v>8</v>
      </c>
      <c r="E20" s="7">
        <v>2</v>
      </c>
      <c r="F20" s="11"/>
    </row>
    <row r="21" spans="1:6" x14ac:dyDescent="0.25">
      <c r="A21" s="5">
        <v>9</v>
      </c>
      <c r="B21" s="11" t="s">
        <v>28</v>
      </c>
      <c r="C21" s="10">
        <v>5.590277777777778E-2</v>
      </c>
      <c r="D21" s="5">
        <v>9</v>
      </c>
      <c r="E21" s="7">
        <v>2.25</v>
      </c>
      <c r="F21" s="11"/>
    </row>
    <row r="23" spans="1:6" x14ac:dyDescent="0.25">
      <c r="B23" s="2" t="s">
        <v>30</v>
      </c>
      <c r="C23" s="2" t="s">
        <v>32</v>
      </c>
    </row>
    <row r="24" spans="1:6" x14ac:dyDescent="0.25">
      <c r="B24" s="2" t="s">
        <v>31</v>
      </c>
      <c r="C24" s="2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H48"/>
  <sheetViews>
    <sheetView topLeftCell="A17" workbookViewId="0">
      <selection activeCell="D24" sqref="D24"/>
    </sheetView>
  </sheetViews>
  <sheetFormatPr defaultColWidth="10.5546875" defaultRowHeight="13.2" x14ac:dyDescent="0.25"/>
  <cols>
    <col min="1" max="1" width="8" style="1" customWidth="1"/>
    <col min="2" max="2" width="24.33203125" style="1" customWidth="1"/>
    <col min="3" max="3" width="25.33203125" style="1" customWidth="1"/>
    <col min="4" max="8" width="10.5546875" style="9"/>
    <col min="9" max="16384" width="10.5546875" style="1"/>
  </cols>
  <sheetData>
    <row r="1" spans="1:8" x14ac:dyDescent="0.25">
      <c r="A1" s="2" t="s">
        <v>13</v>
      </c>
      <c r="D1" s="3"/>
      <c r="E1" s="3"/>
      <c r="F1" s="3"/>
      <c r="G1" s="3"/>
      <c r="H1" s="3"/>
    </row>
    <row r="2" spans="1:8" x14ac:dyDescent="0.25">
      <c r="A2" s="2" t="s">
        <v>14</v>
      </c>
      <c r="D2" s="3"/>
      <c r="E2" s="3"/>
      <c r="F2" s="3"/>
      <c r="G2" s="3"/>
      <c r="H2" s="3"/>
    </row>
    <row r="3" spans="1:8" x14ac:dyDescent="0.25">
      <c r="D3" s="3"/>
      <c r="E3" s="3"/>
      <c r="F3" s="3"/>
      <c r="G3" s="3"/>
      <c r="H3" s="3"/>
    </row>
    <row r="4" spans="1:8" x14ac:dyDescent="0.25">
      <c r="A4" s="1" t="s">
        <v>44</v>
      </c>
      <c r="D4" s="3"/>
      <c r="E4" s="3"/>
      <c r="F4" s="3"/>
      <c r="G4" s="3"/>
      <c r="H4" s="3"/>
    </row>
    <row r="5" spans="1:8" x14ac:dyDescent="0.25">
      <c r="A5" s="1" t="s">
        <v>41</v>
      </c>
      <c r="D5" s="3"/>
      <c r="E5" s="3"/>
      <c r="F5" s="3"/>
      <c r="G5" s="3"/>
      <c r="H5" s="3"/>
    </row>
    <row r="6" spans="1:8" x14ac:dyDescent="0.25">
      <c r="D6" s="3"/>
      <c r="E6" s="3"/>
      <c r="F6" s="3"/>
      <c r="G6" s="3"/>
      <c r="H6" s="3"/>
    </row>
    <row r="7" spans="1:8" x14ac:dyDescent="0.25">
      <c r="A7" s="1" t="s">
        <v>295</v>
      </c>
      <c r="D7" s="3"/>
      <c r="E7" s="3"/>
      <c r="F7" s="3"/>
      <c r="G7" s="3"/>
      <c r="H7" s="3"/>
    </row>
    <row r="8" spans="1:8" x14ac:dyDescent="0.25">
      <c r="A8" s="1" t="s">
        <v>296</v>
      </c>
      <c r="D8" s="3"/>
      <c r="E8" s="3"/>
      <c r="F8" s="3"/>
      <c r="G8" s="3"/>
      <c r="H8" s="3"/>
    </row>
    <row r="9" spans="1:8" x14ac:dyDescent="0.25">
      <c r="A9" s="1" t="s">
        <v>77</v>
      </c>
      <c r="D9" s="3"/>
      <c r="E9" s="3"/>
      <c r="F9" s="3"/>
      <c r="G9" s="3"/>
      <c r="H9" s="3"/>
    </row>
    <row r="10" spans="1:8" x14ac:dyDescent="0.25">
      <c r="D10" s="3"/>
      <c r="E10" s="3"/>
      <c r="F10" s="3"/>
      <c r="G10" s="3"/>
      <c r="H10" s="3"/>
    </row>
    <row r="11" spans="1:8" x14ac:dyDescent="0.25">
      <c r="A11" s="1" t="s">
        <v>297</v>
      </c>
      <c r="D11" s="3"/>
      <c r="E11" s="3"/>
      <c r="F11" s="3"/>
      <c r="G11" s="3"/>
      <c r="H11" s="3"/>
    </row>
    <row r="12" spans="1:8" x14ac:dyDescent="0.25">
      <c r="D12" s="3"/>
      <c r="E12" s="3"/>
      <c r="F12" s="3"/>
      <c r="G12" s="3"/>
      <c r="H12" s="3"/>
    </row>
    <row r="13" spans="1:8" x14ac:dyDescent="0.25">
      <c r="A13" s="2" t="s">
        <v>36</v>
      </c>
      <c r="D13" s="3"/>
      <c r="E13" s="3"/>
      <c r="F13" s="3"/>
      <c r="G13" s="3"/>
      <c r="H13" s="3"/>
    </row>
    <row r="14" spans="1:8" x14ac:dyDescent="0.25">
      <c r="A14" s="2" t="s">
        <v>16</v>
      </c>
      <c r="D14" s="3"/>
      <c r="E14" s="3"/>
      <c r="F14" s="3"/>
      <c r="G14" s="3"/>
      <c r="H14" s="3"/>
    </row>
    <row r="15" spans="1:8" x14ac:dyDescent="0.25">
      <c r="D15" s="3"/>
      <c r="E15" s="3"/>
      <c r="F15" s="3"/>
      <c r="G15" s="3"/>
      <c r="H15" s="3"/>
    </row>
    <row r="16" spans="1:8" x14ac:dyDescent="0.25">
      <c r="A16" s="1" t="s">
        <v>298</v>
      </c>
      <c r="D16" s="3"/>
      <c r="E16" s="3"/>
      <c r="F16" s="3"/>
      <c r="G16" s="3"/>
      <c r="H16" s="3"/>
    </row>
    <row r="17" spans="1:8" x14ac:dyDescent="0.25">
      <c r="D17" s="3"/>
      <c r="E17" s="3"/>
      <c r="F17" s="3"/>
      <c r="G17" s="3"/>
      <c r="H17" s="3"/>
    </row>
    <row r="18" spans="1:8" ht="39.6" x14ac:dyDescent="0.25">
      <c r="A18" s="4" t="s">
        <v>17</v>
      </c>
      <c r="B18" s="4" t="s">
        <v>80</v>
      </c>
      <c r="C18" s="4" t="s">
        <v>1</v>
      </c>
      <c r="D18" s="4" t="s">
        <v>81</v>
      </c>
      <c r="E18" s="4" t="s">
        <v>38</v>
      </c>
      <c r="F18" s="4" t="s">
        <v>22</v>
      </c>
      <c r="G18" s="4" t="s">
        <v>82</v>
      </c>
      <c r="H18" s="4" t="s">
        <v>83</v>
      </c>
    </row>
    <row r="19" spans="1:8" x14ac:dyDescent="0.25">
      <c r="A19" s="5">
        <v>1</v>
      </c>
      <c r="B19" s="11" t="s">
        <v>299</v>
      </c>
      <c r="C19" s="11" t="s">
        <v>10</v>
      </c>
      <c r="D19" s="16">
        <v>265</v>
      </c>
      <c r="E19" s="18">
        <v>3.2997685185185185E-2</v>
      </c>
      <c r="F19" s="5">
        <v>1</v>
      </c>
      <c r="G19" s="16" t="s">
        <v>84</v>
      </c>
      <c r="H19" s="16" t="s">
        <v>84</v>
      </c>
    </row>
    <row r="20" spans="1:8" x14ac:dyDescent="0.25">
      <c r="A20" s="5">
        <v>2</v>
      </c>
      <c r="B20" s="11" t="s">
        <v>265</v>
      </c>
      <c r="C20" s="11" t="s">
        <v>12</v>
      </c>
      <c r="D20" s="16" t="s">
        <v>266</v>
      </c>
      <c r="E20" s="18">
        <v>3.8958333333333338E-2</v>
      </c>
      <c r="F20" s="5">
        <v>2</v>
      </c>
      <c r="G20" s="16" t="s">
        <v>84</v>
      </c>
      <c r="H20" s="16" t="s">
        <v>6</v>
      </c>
    </row>
    <row r="21" spans="1:8" x14ac:dyDescent="0.25">
      <c r="A21" s="5">
        <v>3</v>
      </c>
      <c r="B21" s="11" t="s">
        <v>300</v>
      </c>
      <c r="C21" s="11" t="s">
        <v>9</v>
      </c>
      <c r="D21" s="16" t="s">
        <v>267</v>
      </c>
      <c r="E21" s="18">
        <v>3.8958333333333338E-2</v>
      </c>
      <c r="F21" s="5">
        <v>2</v>
      </c>
      <c r="G21" s="16" t="s">
        <v>84</v>
      </c>
      <c r="H21" s="16" t="s">
        <v>6</v>
      </c>
    </row>
    <row r="22" spans="1:8" x14ac:dyDescent="0.25">
      <c r="A22" s="5">
        <v>4</v>
      </c>
      <c r="B22" s="11" t="s">
        <v>268</v>
      </c>
      <c r="C22" s="11" t="s">
        <v>7</v>
      </c>
      <c r="D22" s="16">
        <v>281</v>
      </c>
      <c r="E22" s="18">
        <v>4.0925925925925928E-2</v>
      </c>
      <c r="F22" s="16" t="s">
        <v>74</v>
      </c>
      <c r="G22" s="16" t="s">
        <v>84</v>
      </c>
      <c r="H22" s="16"/>
    </row>
    <row r="23" spans="1:8" x14ac:dyDescent="0.25">
      <c r="A23" s="5">
        <v>5</v>
      </c>
      <c r="B23" s="11" t="s">
        <v>269</v>
      </c>
      <c r="C23" s="11" t="s">
        <v>7</v>
      </c>
      <c r="D23" s="16" t="s">
        <v>270</v>
      </c>
      <c r="E23" s="18">
        <v>4.3969907407407409E-2</v>
      </c>
      <c r="F23" s="5">
        <v>4</v>
      </c>
      <c r="G23" s="16" t="s">
        <v>84</v>
      </c>
      <c r="H23" s="16"/>
    </row>
    <row r="24" spans="1:8" x14ac:dyDescent="0.25">
      <c r="A24" s="5">
        <v>6</v>
      </c>
      <c r="B24" s="11" t="s">
        <v>271</v>
      </c>
      <c r="C24" s="11" t="s">
        <v>7</v>
      </c>
      <c r="D24" s="16" t="s">
        <v>272</v>
      </c>
      <c r="E24" s="18">
        <v>4.7291666666666669E-2</v>
      </c>
      <c r="F24" s="5">
        <v>5</v>
      </c>
      <c r="G24" s="16" t="s">
        <v>84</v>
      </c>
      <c r="H24" s="16"/>
    </row>
    <row r="25" spans="1:8" x14ac:dyDescent="0.25">
      <c r="A25" s="5">
        <v>7</v>
      </c>
      <c r="B25" s="11" t="s">
        <v>273</v>
      </c>
      <c r="C25" s="11" t="s">
        <v>25</v>
      </c>
      <c r="D25" s="16" t="s">
        <v>274</v>
      </c>
      <c r="E25" s="18">
        <v>4.8518518518518516E-2</v>
      </c>
      <c r="F25" s="16" t="s">
        <v>74</v>
      </c>
      <c r="G25" s="16" t="s">
        <v>84</v>
      </c>
      <c r="H25" s="16"/>
    </row>
    <row r="26" spans="1:8" x14ac:dyDescent="0.25">
      <c r="A26" s="5">
        <v>8</v>
      </c>
      <c r="B26" s="11" t="s">
        <v>301</v>
      </c>
      <c r="C26" s="11" t="s">
        <v>12</v>
      </c>
      <c r="D26" s="16" t="s">
        <v>275</v>
      </c>
      <c r="E26" s="18">
        <v>5.0057870370370371E-2</v>
      </c>
      <c r="F26" s="5">
        <v>6</v>
      </c>
      <c r="G26" s="16" t="s">
        <v>84</v>
      </c>
      <c r="H26" s="16"/>
    </row>
    <row r="27" spans="1:8" x14ac:dyDescent="0.25">
      <c r="A27" s="5">
        <v>9</v>
      </c>
      <c r="B27" s="11" t="s">
        <v>302</v>
      </c>
      <c r="C27" s="11" t="s">
        <v>11</v>
      </c>
      <c r="D27" s="16" t="s">
        <v>276</v>
      </c>
      <c r="E27" s="18">
        <v>5.0150462962962966E-2</v>
      </c>
      <c r="F27" s="5">
        <v>7</v>
      </c>
      <c r="G27" s="16" t="s">
        <v>84</v>
      </c>
      <c r="H27" s="16"/>
    </row>
    <row r="28" spans="1:8" x14ac:dyDescent="0.25">
      <c r="A28" s="5">
        <v>10</v>
      </c>
      <c r="B28" s="11" t="s">
        <v>277</v>
      </c>
      <c r="C28" s="11" t="s">
        <v>9</v>
      </c>
      <c r="D28" s="16" t="s">
        <v>278</v>
      </c>
      <c r="E28" s="18">
        <v>5.0289351851851849E-2</v>
      </c>
      <c r="F28" s="5">
        <v>8</v>
      </c>
      <c r="G28" s="16" t="s">
        <v>84</v>
      </c>
      <c r="H28" s="16"/>
    </row>
    <row r="29" spans="1:8" x14ac:dyDescent="0.25">
      <c r="A29" s="5">
        <v>11</v>
      </c>
      <c r="B29" s="11" t="s">
        <v>279</v>
      </c>
      <c r="C29" s="11" t="s">
        <v>26</v>
      </c>
      <c r="D29" s="16" t="s">
        <v>280</v>
      </c>
      <c r="E29" s="18">
        <v>5.0520833333333327E-2</v>
      </c>
      <c r="F29" s="5">
        <v>9</v>
      </c>
      <c r="G29" s="16" t="s">
        <v>84</v>
      </c>
      <c r="H29" s="16"/>
    </row>
    <row r="30" spans="1:8" x14ac:dyDescent="0.25">
      <c r="A30" s="5">
        <v>12</v>
      </c>
      <c r="B30" s="11" t="s">
        <v>281</v>
      </c>
      <c r="C30" s="11" t="s">
        <v>27</v>
      </c>
      <c r="D30" s="16" t="s">
        <v>282</v>
      </c>
      <c r="E30" s="18">
        <v>5.0844907407407408E-2</v>
      </c>
      <c r="F30" s="5">
        <v>10</v>
      </c>
      <c r="G30" s="16" t="s">
        <v>84</v>
      </c>
      <c r="H30" s="16"/>
    </row>
    <row r="31" spans="1:8" x14ac:dyDescent="0.25">
      <c r="A31" s="5">
        <v>13</v>
      </c>
      <c r="B31" s="11" t="s">
        <v>303</v>
      </c>
      <c r="C31" s="11" t="s">
        <v>29</v>
      </c>
      <c r="D31" s="16">
        <v>255</v>
      </c>
      <c r="E31" s="18">
        <v>5.1481481481481482E-2</v>
      </c>
      <c r="F31" s="5">
        <v>11</v>
      </c>
      <c r="G31" s="16" t="s">
        <v>6</v>
      </c>
      <c r="H31" s="16"/>
    </row>
    <row r="32" spans="1:8" x14ac:dyDescent="0.25">
      <c r="A32" s="5">
        <v>14</v>
      </c>
      <c r="B32" s="11" t="s">
        <v>304</v>
      </c>
      <c r="C32" s="11" t="s">
        <v>11</v>
      </c>
      <c r="D32" s="16" t="s">
        <v>283</v>
      </c>
      <c r="E32" s="18">
        <v>5.3680555555555558E-2</v>
      </c>
      <c r="F32" s="5">
        <v>12</v>
      </c>
      <c r="G32" s="16" t="s">
        <v>84</v>
      </c>
      <c r="H32" s="16"/>
    </row>
    <row r="33" spans="1:8" x14ac:dyDescent="0.25">
      <c r="A33" s="5">
        <v>15</v>
      </c>
      <c r="B33" s="11" t="s">
        <v>305</v>
      </c>
      <c r="C33" s="11" t="s">
        <v>28</v>
      </c>
      <c r="D33" s="16" t="s">
        <v>284</v>
      </c>
      <c r="E33" s="18">
        <v>5.590277777777778E-2</v>
      </c>
      <c r="F33" s="5">
        <v>13</v>
      </c>
      <c r="G33" s="16" t="s">
        <v>84</v>
      </c>
      <c r="H33" s="16"/>
    </row>
    <row r="34" spans="1:8" x14ac:dyDescent="0.25">
      <c r="A34" s="5">
        <v>16</v>
      </c>
      <c r="B34" s="11" t="s">
        <v>285</v>
      </c>
      <c r="C34" s="11" t="s">
        <v>10</v>
      </c>
      <c r="D34" s="16" t="s">
        <v>286</v>
      </c>
      <c r="E34" s="18">
        <v>5.7280092592592591E-2</v>
      </c>
      <c r="F34" s="5">
        <v>14</v>
      </c>
      <c r="G34" s="16" t="s">
        <v>84</v>
      </c>
      <c r="H34" s="16"/>
    </row>
    <row r="35" spans="1:8" x14ac:dyDescent="0.25">
      <c r="A35" s="5">
        <v>17</v>
      </c>
      <c r="B35" s="11" t="s">
        <v>287</v>
      </c>
      <c r="C35" s="11" t="s">
        <v>12</v>
      </c>
      <c r="D35" s="16" t="s">
        <v>288</v>
      </c>
      <c r="E35" s="18">
        <v>6.0034722222222225E-2</v>
      </c>
      <c r="F35" s="16" t="s">
        <v>74</v>
      </c>
      <c r="G35" s="16" t="s">
        <v>84</v>
      </c>
      <c r="H35" s="16"/>
    </row>
    <row r="36" spans="1:8" x14ac:dyDescent="0.25">
      <c r="A36" s="5">
        <v>18</v>
      </c>
      <c r="B36" s="11" t="s">
        <v>306</v>
      </c>
      <c r="C36" s="11" t="s">
        <v>27</v>
      </c>
      <c r="D36" s="16" t="s">
        <v>289</v>
      </c>
      <c r="E36" s="18">
        <v>6.4814814814814811E-2</v>
      </c>
      <c r="F36" s="5">
        <v>15</v>
      </c>
      <c r="G36" s="16" t="s">
        <v>84</v>
      </c>
      <c r="H36" s="16"/>
    </row>
    <row r="37" spans="1:8" x14ac:dyDescent="0.25">
      <c r="A37" s="5">
        <v>19</v>
      </c>
      <c r="B37" s="11" t="s">
        <v>290</v>
      </c>
      <c r="C37" s="11" t="s">
        <v>28</v>
      </c>
      <c r="D37" s="16" t="s">
        <v>291</v>
      </c>
      <c r="E37" s="18">
        <v>6.7210648148148144E-2</v>
      </c>
      <c r="F37" s="5">
        <v>16</v>
      </c>
      <c r="G37" s="16" t="s">
        <v>84</v>
      </c>
      <c r="H37" s="16"/>
    </row>
    <row r="38" spans="1:8" x14ac:dyDescent="0.25">
      <c r="A38" s="5">
        <v>20</v>
      </c>
      <c r="B38" s="11" t="s">
        <v>292</v>
      </c>
      <c r="C38" s="11" t="s">
        <v>26</v>
      </c>
      <c r="D38" s="16" t="s">
        <v>293</v>
      </c>
      <c r="E38" s="18">
        <v>7.0810185185185184E-2</v>
      </c>
      <c r="F38" s="5">
        <v>17</v>
      </c>
      <c r="G38" s="16" t="s">
        <v>84</v>
      </c>
      <c r="H38" s="16"/>
    </row>
    <row r="39" spans="1:8" x14ac:dyDescent="0.25">
      <c r="A39" s="5">
        <v>21</v>
      </c>
      <c r="B39" s="11" t="s">
        <v>294</v>
      </c>
      <c r="C39" s="11" t="s">
        <v>29</v>
      </c>
      <c r="D39" s="16">
        <v>275</v>
      </c>
      <c r="E39" s="18">
        <v>8.4409722222222219E-2</v>
      </c>
      <c r="F39" s="5">
        <v>18</v>
      </c>
      <c r="G39" s="16" t="s">
        <v>6</v>
      </c>
      <c r="H39" s="16"/>
    </row>
    <row r="40" spans="1:8" x14ac:dyDescent="0.25">
      <c r="F40" s="3"/>
    </row>
    <row r="41" spans="1:8" x14ac:dyDescent="0.25">
      <c r="B41" s="1" t="s">
        <v>132</v>
      </c>
      <c r="F41" s="3"/>
    </row>
    <row r="42" spans="1:8" x14ac:dyDescent="0.25">
      <c r="B42" s="1" t="s">
        <v>247</v>
      </c>
      <c r="F42" s="3"/>
    </row>
    <row r="43" spans="1:8" x14ac:dyDescent="0.25">
      <c r="B43" s="1" t="s">
        <v>307</v>
      </c>
    </row>
    <row r="44" spans="1:8" x14ac:dyDescent="0.25">
      <c r="B44" s="1" t="s">
        <v>308</v>
      </c>
    </row>
    <row r="47" spans="1:8" x14ac:dyDescent="0.25">
      <c r="B47" s="2" t="s">
        <v>30</v>
      </c>
      <c r="C47" s="2" t="s">
        <v>32</v>
      </c>
    </row>
    <row r="48" spans="1:8" x14ac:dyDescent="0.25">
      <c r="B48" s="2" t="s">
        <v>31</v>
      </c>
      <c r="C48" s="2" t="s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/>
  <dimension ref="A1:J148"/>
  <sheetViews>
    <sheetView topLeftCell="A22" workbookViewId="0">
      <selection activeCell="D20" sqref="D20"/>
    </sheetView>
  </sheetViews>
  <sheetFormatPr defaultRowHeight="13.2" x14ac:dyDescent="0.25"/>
  <cols>
    <col min="1" max="1" width="7.6640625" style="2" customWidth="1"/>
    <col min="2" max="2" width="25.6640625" style="2" customWidth="1"/>
    <col min="3" max="3" width="22" style="2" customWidth="1"/>
    <col min="4" max="4" width="11.88671875" style="3" customWidth="1"/>
    <col min="5" max="5" width="9.44140625" style="3" customWidth="1"/>
    <col min="6" max="6" width="14.6640625" style="3" customWidth="1"/>
    <col min="7" max="7" width="13.21875" style="3" customWidth="1"/>
    <col min="8" max="9" width="7.33203125" style="3" customWidth="1"/>
    <col min="10" max="10" width="15.5546875" style="3" customWidth="1"/>
    <col min="11" max="11" width="11" style="2"/>
    <col min="12" max="12" width="10" style="2"/>
    <col min="13" max="13" width="17.33203125" style="2"/>
    <col min="14" max="16384" width="8.88671875" style="2"/>
  </cols>
  <sheetData>
    <row r="1" spans="1:2" x14ac:dyDescent="0.25">
      <c r="A1" s="2" t="s">
        <v>13</v>
      </c>
      <c r="B1" s="1"/>
    </row>
    <row r="2" spans="1:2" x14ac:dyDescent="0.25">
      <c r="A2" s="2" t="s">
        <v>14</v>
      </c>
      <c r="B2" s="1"/>
    </row>
    <row r="3" spans="1:2" x14ac:dyDescent="0.25">
      <c r="A3" s="1"/>
      <c r="B3" s="1"/>
    </row>
    <row r="4" spans="1:2" x14ac:dyDescent="0.25">
      <c r="A4" s="1" t="s">
        <v>44</v>
      </c>
      <c r="B4" s="1"/>
    </row>
    <row r="5" spans="1:2" x14ac:dyDescent="0.25">
      <c r="A5" s="1" t="s">
        <v>319</v>
      </c>
      <c r="B5" s="1"/>
    </row>
    <row r="6" spans="1:2" x14ac:dyDescent="0.25">
      <c r="A6" s="1"/>
      <c r="B6" s="1"/>
    </row>
    <row r="7" spans="1:2" x14ac:dyDescent="0.25">
      <c r="A7" s="1" t="s">
        <v>320</v>
      </c>
      <c r="B7" s="1"/>
    </row>
    <row r="8" spans="1:2" x14ac:dyDescent="0.25">
      <c r="A8" s="1" t="s">
        <v>321</v>
      </c>
      <c r="B8" s="1"/>
    </row>
    <row r="9" spans="1:2" x14ac:dyDescent="0.25">
      <c r="A9" s="1" t="s">
        <v>322</v>
      </c>
      <c r="B9" s="1"/>
    </row>
    <row r="10" spans="1:2" x14ac:dyDescent="0.25">
      <c r="A10" s="1"/>
      <c r="B10" s="1"/>
    </row>
    <row r="11" spans="1:2" x14ac:dyDescent="0.25">
      <c r="A11" s="1" t="s">
        <v>323</v>
      </c>
      <c r="B11" s="1"/>
    </row>
    <row r="12" spans="1:2" x14ac:dyDescent="0.25">
      <c r="A12" s="1"/>
      <c r="B12" s="1"/>
    </row>
    <row r="13" spans="1:2" x14ac:dyDescent="0.25">
      <c r="A13" s="2" t="s">
        <v>324</v>
      </c>
      <c r="B13" s="1"/>
    </row>
    <row r="14" spans="1:2" x14ac:dyDescent="0.25">
      <c r="A14" s="2" t="s">
        <v>16</v>
      </c>
      <c r="B14" s="1"/>
    </row>
    <row r="15" spans="1:2" x14ac:dyDescent="0.25">
      <c r="A15" s="1"/>
      <c r="B15" s="1"/>
    </row>
    <row r="16" spans="1:2" x14ac:dyDescent="0.25">
      <c r="A16" s="1" t="s">
        <v>79</v>
      </c>
      <c r="B16" s="1"/>
    </row>
    <row r="18" spans="1:10" ht="13.8" thickBot="1" x14ac:dyDescent="0.3"/>
    <row r="19" spans="1:10" ht="27" thickBot="1" x14ac:dyDescent="0.3">
      <c r="A19" s="33" t="s">
        <v>17</v>
      </c>
      <c r="B19" s="34" t="s">
        <v>1</v>
      </c>
      <c r="C19" s="34" t="s">
        <v>309</v>
      </c>
      <c r="D19" s="34" t="s">
        <v>81</v>
      </c>
      <c r="E19" s="34" t="s">
        <v>310</v>
      </c>
      <c r="F19" s="34" t="s">
        <v>311</v>
      </c>
      <c r="G19" s="34" t="s">
        <v>312</v>
      </c>
      <c r="H19" s="34" t="s">
        <v>22</v>
      </c>
      <c r="I19" s="34" t="s">
        <v>39</v>
      </c>
      <c r="J19" s="35" t="s">
        <v>313</v>
      </c>
    </row>
    <row r="20" spans="1:10" x14ac:dyDescent="0.25">
      <c r="A20" s="19">
        <v>1</v>
      </c>
      <c r="B20" s="20" t="s">
        <v>11</v>
      </c>
      <c r="C20" s="20" t="s">
        <v>105</v>
      </c>
      <c r="D20" s="21">
        <v>101</v>
      </c>
      <c r="E20" s="21" t="s">
        <v>49</v>
      </c>
      <c r="F20" s="22">
        <v>4.9212962962962958E-2</v>
      </c>
      <c r="G20" s="22">
        <f>F20</f>
        <v>4.9212962962962958E-2</v>
      </c>
      <c r="H20" s="21"/>
      <c r="I20" s="21"/>
      <c r="J20" s="23" t="s">
        <v>49</v>
      </c>
    </row>
    <row r="21" spans="1:10" x14ac:dyDescent="0.25">
      <c r="A21" s="24"/>
      <c r="B21" s="15"/>
      <c r="C21" s="15" t="s">
        <v>52</v>
      </c>
      <c r="D21" s="25">
        <v>201</v>
      </c>
      <c r="E21" s="25" t="s">
        <v>49</v>
      </c>
      <c r="F21" s="26">
        <v>4.760416666666667E-2</v>
      </c>
      <c r="G21" s="26">
        <f>F20+F21</f>
        <v>9.6817129629629628E-2</v>
      </c>
      <c r="H21" s="25"/>
      <c r="I21" s="25"/>
      <c r="J21" s="27" t="s">
        <v>49</v>
      </c>
    </row>
    <row r="22" spans="1:10" x14ac:dyDescent="0.25">
      <c r="A22" s="24"/>
      <c r="B22" s="15"/>
      <c r="C22" s="15" t="s">
        <v>314</v>
      </c>
      <c r="D22" s="25">
        <v>301</v>
      </c>
      <c r="E22" s="25" t="s">
        <v>49</v>
      </c>
      <c r="F22" s="26">
        <v>4.4710648148148152E-2</v>
      </c>
      <c r="G22" s="26">
        <f>F20+F21+F22</f>
        <v>0.14152777777777778</v>
      </c>
      <c r="H22" s="25"/>
      <c r="I22" s="25"/>
      <c r="J22" s="27" t="s">
        <v>49</v>
      </c>
    </row>
    <row r="23" spans="1:10" x14ac:dyDescent="0.25">
      <c r="A23" s="24"/>
      <c r="B23" s="15"/>
      <c r="C23" s="15" t="s">
        <v>315</v>
      </c>
      <c r="D23" s="25">
        <v>401</v>
      </c>
      <c r="E23" s="25" t="s">
        <v>49</v>
      </c>
      <c r="F23" s="26">
        <v>4.5509259259259256E-2</v>
      </c>
      <c r="G23" s="26">
        <f>F20+F21+F22+F23</f>
        <v>0.18703703703703703</v>
      </c>
      <c r="H23" s="25">
        <v>1</v>
      </c>
      <c r="I23" s="25">
        <v>1</v>
      </c>
      <c r="J23" s="27" t="s">
        <v>49</v>
      </c>
    </row>
    <row r="24" spans="1:10" x14ac:dyDescent="0.25">
      <c r="A24" s="24"/>
      <c r="B24" s="15"/>
      <c r="C24" s="15"/>
      <c r="D24" s="25"/>
      <c r="E24" s="25"/>
      <c r="F24" s="25"/>
      <c r="G24" s="25"/>
      <c r="H24" s="25"/>
      <c r="I24" s="25"/>
      <c r="J24" s="27"/>
    </row>
    <row r="25" spans="1:10" x14ac:dyDescent="0.25">
      <c r="A25" s="24">
        <v>2</v>
      </c>
      <c r="B25" s="15" t="s">
        <v>12</v>
      </c>
      <c r="C25" s="15" t="s">
        <v>316</v>
      </c>
      <c r="D25" s="25">
        <v>103</v>
      </c>
      <c r="E25" s="25" t="s">
        <v>49</v>
      </c>
      <c r="F25" s="26">
        <v>5.136574074074074E-2</v>
      </c>
      <c r="G25" s="26">
        <f>F25</f>
        <v>5.136574074074074E-2</v>
      </c>
      <c r="H25" s="25"/>
      <c r="I25" s="25"/>
      <c r="J25" s="27" t="s">
        <v>49</v>
      </c>
    </row>
    <row r="26" spans="1:10" x14ac:dyDescent="0.25">
      <c r="A26" s="24"/>
      <c r="B26" s="15"/>
      <c r="C26" s="15" t="s">
        <v>98</v>
      </c>
      <c r="D26" s="25">
        <v>203</v>
      </c>
      <c r="E26" s="25" t="s">
        <v>49</v>
      </c>
      <c r="F26" s="26">
        <v>4.5416666666666668E-2</v>
      </c>
      <c r="G26" s="26">
        <f>F25+F26</f>
        <v>9.67824074074074E-2</v>
      </c>
      <c r="H26" s="25"/>
      <c r="I26" s="25"/>
      <c r="J26" s="27" t="s">
        <v>49</v>
      </c>
    </row>
    <row r="27" spans="1:10" x14ac:dyDescent="0.25">
      <c r="A27" s="24"/>
      <c r="B27" s="15"/>
      <c r="C27" s="15" t="s">
        <v>317</v>
      </c>
      <c r="D27" s="25">
        <v>303</v>
      </c>
      <c r="E27" s="25" t="s">
        <v>49</v>
      </c>
      <c r="F27" s="26">
        <v>4.6921296296296294E-2</v>
      </c>
      <c r="G27" s="26">
        <f>F25+F26+F27</f>
        <v>0.14370370370370369</v>
      </c>
      <c r="H27" s="25"/>
      <c r="I27" s="25"/>
      <c r="J27" s="27" t="s">
        <v>49</v>
      </c>
    </row>
    <row r="28" spans="1:10" x14ac:dyDescent="0.25">
      <c r="A28" s="24"/>
      <c r="B28" s="15"/>
      <c r="C28" s="15" t="s">
        <v>318</v>
      </c>
      <c r="D28" s="25">
        <v>403</v>
      </c>
      <c r="E28" s="25" t="s">
        <v>49</v>
      </c>
      <c r="F28" s="26">
        <v>4.5983796296296293E-2</v>
      </c>
      <c r="G28" s="26">
        <v>0.18899305555555557</v>
      </c>
      <c r="H28" s="25">
        <v>2</v>
      </c>
      <c r="I28" s="25">
        <v>2</v>
      </c>
      <c r="J28" s="27" t="s">
        <v>49</v>
      </c>
    </row>
    <row r="29" spans="1:10" x14ac:dyDescent="0.25">
      <c r="A29" s="24"/>
      <c r="B29" s="15"/>
      <c r="C29" s="15"/>
      <c r="D29" s="25"/>
      <c r="E29" s="25"/>
      <c r="F29" s="25"/>
      <c r="G29" s="25"/>
      <c r="H29" s="25"/>
      <c r="I29" s="25"/>
      <c r="J29" s="27"/>
    </row>
    <row r="30" spans="1:10" x14ac:dyDescent="0.25">
      <c r="A30" s="24">
        <v>3</v>
      </c>
      <c r="B30" s="15" t="s">
        <v>27</v>
      </c>
      <c r="C30" s="15" t="s">
        <v>101</v>
      </c>
      <c r="D30" s="25">
        <v>106</v>
      </c>
      <c r="E30" s="25" t="s">
        <v>49</v>
      </c>
      <c r="F30" s="26">
        <v>5.1076388888888886E-2</v>
      </c>
      <c r="G30" s="26">
        <f>F30</f>
        <v>5.1076388888888886E-2</v>
      </c>
      <c r="H30" s="25"/>
      <c r="I30" s="25"/>
      <c r="J30" s="27" t="s">
        <v>49</v>
      </c>
    </row>
    <row r="31" spans="1:10" x14ac:dyDescent="0.25">
      <c r="A31" s="24"/>
      <c r="B31" s="15"/>
      <c r="C31" s="15" t="s">
        <v>110</v>
      </c>
      <c r="D31" s="25">
        <v>206</v>
      </c>
      <c r="E31" s="25" t="s">
        <v>49</v>
      </c>
      <c r="F31" s="26">
        <v>4.9664351851851855E-2</v>
      </c>
      <c r="G31" s="26">
        <f>F30+F31</f>
        <v>0.10074074074074074</v>
      </c>
      <c r="H31" s="25"/>
      <c r="I31" s="25"/>
      <c r="J31" s="27" t="s">
        <v>49</v>
      </c>
    </row>
    <row r="32" spans="1:10" x14ac:dyDescent="0.25">
      <c r="A32" s="24"/>
      <c r="B32" s="15"/>
      <c r="C32" s="15" t="s">
        <v>111</v>
      </c>
      <c r="D32" s="25">
        <v>306</v>
      </c>
      <c r="E32" s="25" t="s">
        <v>49</v>
      </c>
      <c r="F32" s="26">
        <v>4.538194444444444E-2</v>
      </c>
      <c r="G32" s="26">
        <f>F30+F31+F32</f>
        <v>0.14612268518518517</v>
      </c>
      <c r="H32" s="25"/>
      <c r="I32" s="25"/>
      <c r="J32" s="27" t="s">
        <v>49</v>
      </c>
    </row>
    <row r="33" spans="1:10" x14ac:dyDescent="0.25">
      <c r="A33" s="24"/>
      <c r="B33" s="15"/>
      <c r="C33" s="15" t="s">
        <v>66</v>
      </c>
      <c r="D33" s="25">
        <v>406</v>
      </c>
      <c r="E33" s="25" t="s">
        <v>49</v>
      </c>
      <c r="F33" s="26">
        <v>4.355324074074074E-2</v>
      </c>
      <c r="G33" s="26">
        <f>F30+F31+F32+F33</f>
        <v>0.18967592592592591</v>
      </c>
      <c r="H33" s="25">
        <v>3</v>
      </c>
      <c r="I33" s="25">
        <v>3</v>
      </c>
      <c r="J33" s="27" t="s">
        <v>49</v>
      </c>
    </row>
    <row r="34" spans="1:10" x14ac:dyDescent="0.25">
      <c r="A34" s="24"/>
      <c r="B34" s="15"/>
      <c r="C34" s="15"/>
      <c r="D34" s="25"/>
      <c r="E34" s="25"/>
      <c r="F34" s="25"/>
      <c r="G34" s="25"/>
      <c r="H34" s="25"/>
      <c r="I34" s="25"/>
      <c r="J34" s="27"/>
    </row>
    <row r="35" spans="1:10" x14ac:dyDescent="0.25">
      <c r="A35" s="24">
        <v>4</v>
      </c>
      <c r="B35" s="15" t="s">
        <v>26</v>
      </c>
      <c r="C35" s="15" t="s">
        <v>114</v>
      </c>
      <c r="D35" s="25">
        <v>105</v>
      </c>
      <c r="E35" s="25" t="s">
        <v>49</v>
      </c>
      <c r="F35" s="26">
        <v>4.8414351851851854E-2</v>
      </c>
      <c r="G35" s="26">
        <f>F35</f>
        <v>4.8414351851851854E-2</v>
      </c>
      <c r="H35" s="25"/>
      <c r="I35" s="25"/>
      <c r="J35" s="27" t="s">
        <v>84</v>
      </c>
    </row>
    <row r="36" spans="1:10" x14ac:dyDescent="0.25">
      <c r="A36" s="24"/>
      <c r="B36" s="15"/>
      <c r="C36" s="15" t="s">
        <v>64</v>
      </c>
      <c r="D36" s="25">
        <v>205</v>
      </c>
      <c r="E36" s="25" t="s">
        <v>49</v>
      </c>
      <c r="F36" s="26">
        <v>6.1030092592592594E-2</v>
      </c>
      <c r="G36" s="26">
        <f>F35+F36</f>
        <v>0.10944444444444446</v>
      </c>
      <c r="H36" s="25"/>
      <c r="I36" s="25"/>
      <c r="J36" s="27" t="s">
        <v>84</v>
      </c>
    </row>
    <row r="37" spans="1:10" x14ac:dyDescent="0.25">
      <c r="A37" s="24"/>
      <c r="B37" s="15"/>
      <c r="C37" s="15" t="s">
        <v>60</v>
      </c>
      <c r="D37" s="25">
        <v>305</v>
      </c>
      <c r="E37" s="25" t="s">
        <v>49</v>
      </c>
      <c r="F37" s="26">
        <v>4.3020833333333335E-2</v>
      </c>
      <c r="G37" s="26">
        <f>F35+F36+F37</f>
        <v>0.1524652777777778</v>
      </c>
      <c r="H37" s="25"/>
      <c r="I37" s="25"/>
      <c r="J37" s="27" t="s">
        <v>84</v>
      </c>
    </row>
    <row r="38" spans="1:10" x14ac:dyDescent="0.25">
      <c r="A38" s="24"/>
      <c r="B38" s="15"/>
      <c r="C38" s="15" t="s">
        <v>93</v>
      </c>
      <c r="D38" s="25">
        <v>405</v>
      </c>
      <c r="E38" s="25" t="s">
        <v>49</v>
      </c>
      <c r="F38" s="26">
        <v>4.3888888888888887E-2</v>
      </c>
      <c r="G38" s="26">
        <f>F35+F36+F37+F38</f>
        <v>0.19635416666666669</v>
      </c>
      <c r="H38" s="25">
        <v>4</v>
      </c>
      <c r="I38" s="25">
        <v>4</v>
      </c>
      <c r="J38" s="27" t="s">
        <v>84</v>
      </c>
    </row>
    <row r="39" spans="1:10" x14ac:dyDescent="0.25">
      <c r="A39" s="24"/>
      <c r="B39" s="15"/>
      <c r="C39" s="15"/>
      <c r="D39" s="25"/>
      <c r="E39" s="25"/>
      <c r="F39" s="25"/>
      <c r="G39" s="25"/>
      <c r="H39" s="25"/>
      <c r="I39" s="25"/>
      <c r="J39" s="27"/>
    </row>
    <row r="40" spans="1:10" x14ac:dyDescent="0.25">
      <c r="A40" s="24">
        <v>5</v>
      </c>
      <c r="B40" s="15" t="s">
        <v>28</v>
      </c>
      <c r="C40" s="15" t="s">
        <v>92</v>
      </c>
      <c r="D40" s="25">
        <v>104</v>
      </c>
      <c r="E40" s="25" t="s">
        <v>49</v>
      </c>
      <c r="F40" s="26">
        <v>5.7743055555555554E-2</v>
      </c>
      <c r="G40" s="26">
        <f t="shared" ref="G40" si="0">F40</f>
        <v>5.7743055555555554E-2</v>
      </c>
      <c r="H40" s="25"/>
      <c r="I40" s="25"/>
      <c r="J40" s="27" t="s">
        <v>84</v>
      </c>
    </row>
    <row r="41" spans="1:10" x14ac:dyDescent="0.25">
      <c r="A41" s="24"/>
      <c r="B41" s="15"/>
      <c r="C41" s="15" t="s">
        <v>95</v>
      </c>
      <c r="D41" s="25">
        <v>204</v>
      </c>
      <c r="E41" s="25" t="s">
        <v>49</v>
      </c>
      <c r="F41" s="26">
        <v>4.8009259259259258E-2</v>
      </c>
      <c r="G41" s="26">
        <f t="shared" ref="G41" si="1">F40+F41</f>
        <v>0.10575231481481481</v>
      </c>
      <c r="H41" s="25"/>
      <c r="I41" s="25"/>
      <c r="J41" s="27" t="s">
        <v>84</v>
      </c>
    </row>
    <row r="42" spans="1:10" x14ac:dyDescent="0.25">
      <c r="A42" s="24"/>
      <c r="B42" s="15"/>
      <c r="C42" s="15" t="s">
        <v>71</v>
      </c>
      <c r="D42" s="25">
        <v>304</v>
      </c>
      <c r="E42" s="25" t="s">
        <v>49</v>
      </c>
      <c r="F42" s="26">
        <v>4.704861111111111E-2</v>
      </c>
      <c r="G42" s="26">
        <f t="shared" ref="G42" si="2">F40+F41+F42</f>
        <v>0.15280092592592592</v>
      </c>
      <c r="H42" s="25"/>
      <c r="I42" s="25"/>
      <c r="J42" s="27" t="s">
        <v>84</v>
      </c>
    </row>
    <row r="43" spans="1:10" x14ac:dyDescent="0.25">
      <c r="A43" s="24"/>
      <c r="B43" s="15"/>
      <c r="C43" s="15" t="s">
        <v>69</v>
      </c>
      <c r="D43" s="25">
        <v>404</v>
      </c>
      <c r="E43" s="25" t="s">
        <v>49</v>
      </c>
      <c r="F43" s="26">
        <v>4.5694444444444447E-2</v>
      </c>
      <c r="G43" s="26">
        <f t="shared" ref="G43" si="3">F40+F41+F42+F43</f>
        <v>0.19849537037037038</v>
      </c>
      <c r="H43" s="25">
        <v>5</v>
      </c>
      <c r="I43" s="25">
        <v>5</v>
      </c>
      <c r="J43" s="27" t="s">
        <v>84</v>
      </c>
    </row>
    <row r="44" spans="1:10" x14ac:dyDescent="0.25">
      <c r="A44" s="24"/>
      <c r="B44" s="15"/>
      <c r="C44" s="15"/>
      <c r="D44" s="25"/>
      <c r="E44" s="25"/>
      <c r="F44" s="25"/>
      <c r="G44" s="25"/>
      <c r="H44" s="25"/>
      <c r="I44" s="25"/>
      <c r="J44" s="27"/>
    </row>
    <row r="45" spans="1:10" x14ac:dyDescent="0.25">
      <c r="A45" s="24">
        <v>6</v>
      </c>
      <c r="B45" s="15" t="s">
        <v>9</v>
      </c>
      <c r="C45" s="15" t="s">
        <v>102</v>
      </c>
      <c r="D45" s="25">
        <v>108</v>
      </c>
      <c r="E45" s="25" t="s">
        <v>49</v>
      </c>
      <c r="F45" s="26">
        <v>5.3206018518518521E-2</v>
      </c>
      <c r="G45" s="26">
        <f t="shared" ref="G45" si="4">F45</f>
        <v>5.3206018518518521E-2</v>
      </c>
      <c r="H45" s="25"/>
      <c r="I45" s="25"/>
      <c r="J45" s="27" t="s">
        <v>84</v>
      </c>
    </row>
    <row r="46" spans="1:10" x14ac:dyDescent="0.25">
      <c r="A46" s="24"/>
      <c r="B46" s="15"/>
      <c r="C46" s="15" t="s">
        <v>100</v>
      </c>
      <c r="D46" s="25">
        <v>208</v>
      </c>
      <c r="E46" s="25" t="s">
        <v>49</v>
      </c>
      <c r="F46" s="26">
        <v>5.1053240740740746E-2</v>
      </c>
      <c r="G46" s="26">
        <f t="shared" ref="G46" si="5">F45+F46</f>
        <v>0.10425925925925927</v>
      </c>
      <c r="H46" s="25"/>
      <c r="I46" s="25"/>
      <c r="J46" s="27" t="s">
        <v>84</v>
      </c>
    </row>
    <row r="47" spans="1:10" x14ac:dyDescent="0.25">
      <c r="A47" s="24"/>
      <c r="B47" s="15"/>
      <c r="C47" s="15" t="s">
        <v>121</v>
      </c>
      <c r="D47" s="25">
        <v>308</v>
      </c>
      <c r="E47" s="25" t="s">
        <v>49</v>
      </c>
      <c r="F47" s="26">
        <v>4.7534722222222221E-2</v>
      </c>
      <c r="G47" s="26">
        <f t="shared" ref="G47" si="6">F45+F46+F47</f>
        <v>0.15179398148148149</v>
      </c>
      <c r="H47" s="25"/>
      <c r="I47" s="25"/>
      <c r="J47" s="27" t="s">
        <v>84</v>
      </c>
    </row>
    <row r="48" spans="1:10" x14ac:dyDescent="0.25">
      <c r="A48" s="24"/>
      <c r="B48" s="15"/>
      <c r="C48" s="15" t="s">
        <v>104</v>
      </c>
      <c r="D48" s="25">
        <v>408</v>
      </c>
      <c r="E48" s="25" t="s">
        <v>49</v>
      </c>
      <c r="F48" s="26">
        <v>4.7164351851851853E-2</v>
      </c>
      <c r="G48" s="26">
        <f t="shared" ref="G48" si="7">F45+F46+F47+F48</f>
        <v>0.19895833333333335</v>
      </c>
      <c r="H48" s="25">
        <v>6</v>
      </c>
      <c r="I48" s="25">
        <v>6</v>
      </c>
      <c r="J48" s="27" t="s">
        <v>84</v>
      </c>
    </row>
    <row r="49" spans="1:10" x14ac:dyDescent="0.25">
      <c r="A49" s="24"/>
      <c r="B49" s="15"/>
      <c r="C49" s="15"/>
      <c r="D49" s="25"/>
      <c r="E49" s="25"/>
      <c r="F49" s="25"/>
      <c r="G49" s="25"/>
      <c r="H49" s="25"/>
      <c r="I49" s="25"/>
      <c r="J49" s="27"/>
    </row>
    <row r="50" spans="1:10" x14ac:dyDescent="0.25">
      <c r="A50" s="24">
        <v>7</v>
      </c>
      <c r="B50" s="15" t="s">
        <v>7</v>
      </c>
      <c r="C50" s="15" t="s">
        <v>112</v>
      </c>
      <c r="D50" s="25">
        <v>102</v>
      </c>
      <c r="E50" s="25" t="s">
        <v>49</v>
      </c>
      <c r="F50" s="26">
        <v>4.9085648148148149E-2</v>
      </c>
      <c r="G50" s="26">
        <f t="shared" ref="G50" si="8">F50</f>
        <v>4.9085648148148149E-2</v>
      </c>
      <c r="H50" s="25"/>
      <c r="I50" s="25"/>
      <c r="J50" s="27" t="s">
        <v>84</v>
      </c>
    </row>
    <row r="51" spans="1:10" x14ac:dyDescent="0.25">
      <c r="A51" s="24"/>
      <c r="B51" s="15"/>
      <c r="C51" s="15" t="s">
        <v>45</v>
      </c>
      <c r="D51" s="25">
        <v>202</v>
      </c>
      <c r="E51" s="25" t="s">
        <v>49</v>
      </c>
      <c r="F51" s="26">
        <v>5.2453703703703704E-2</v>
      </c>
      <c r="G51" s="26">
        <f t="shared" ref="G51" si="9">F50+F51</f>
        <v>0.10153935185185185</v>
      </c>
      <c r="H51" s="25"/>
      <c r="I51" s="25"/>
      <c r="J51" s="27" t="s">
        <v>84</v>
      </c>
    </row>
    <row r="52" spans="1:10" x14ac:dyDescent="0.25">
      <c r="A52" s="24"/>
      <c r="B52" s="15"/>
      <c r="C52" s="15" t="s">
        <v>106</v>
      </c>
      <c r="D52" s="25">
        <v>302</v>
      </c>
      <c r="E52" s="25" t="s">
        <v>49</v>
      </c>
      <c r="F52" s="26">
        <v>4.8449074074074082E-2</v>
      </c>
      <c r="G52" s="26">
        <f t="shared" ref="G52" si="10">F50+F51+F52</f>
        <v>0.14998842592592593</v>
      </c>
      <c r="H52" s="25"/>
      <c r="I52" s="25"/>
      <c r="J52" s="27" t="s">
        <v>84</v>
      </c>
    </row>
    <row r="53" spans="1:10" x14ac:dyDescent="0.25">
      <c r="A53" s="24"/>
      <c r="B53" s="15"/>
      <c r="C53" s="15" t="s">
        <v>47</v>
      </c>
      <c r="D53" s="25">
        <v>402</v>
      </c>
      <c r="E53" s="25" t="s">
        <v>49</v>
      </c>
      <c r="F53" s="26">
        <v>5.0833333333333335E-2</v>
      </c>
      <c r="G53" s="26">
        <f t="shared" ref="G53" si="11">F50+F51+F52+F53</f>
        <v>0.20082175925925927</v>
      </c>
      <c r="H53" s="25">
        <v>7</v>
      </c>
      <c r="I53" s="25">
        <v>7</v>
      </c>
      <c r="J53" s="27" t="s">
        <v>84</v>
      </c>
    </row>
    <row r="54" spans="1:10" x14ac:dyDescent="0.25">
      <c r="A54" s="24"/>
      <c r="B54" s="15"/>
      <c r="C54" s="15"/>
      <c r="D54" s="25"/>
      <c r="E54" s="25"/>
      <c r="F54" s="25"/>
      <c r="G54" s="25"/>
      <c r="H54" s="25"/>
      <c r="I54" s="25"/>
      <c r="J54" s="27"/>
    </row>
    <row r="55" spans="1:10" x14ac:dyDescent="0.25">
      <c r="A55" s="24">
        <v>8</v>
      </c>
      <c r="B55" s="15" t="s">
        <v>10</v>
      </c>
      <c r="C55" s="15" t="s">
        <v>128</v>
      </c>
      <c r="D55" s="25">
        <v>109</v>
      </c>
      <c r="E55" s="25" t="s">
        <v>49</v>
      </c>
      <c r="F55" s="26">
        <v>5.4583333333333338E-2</v>
      </c>
      <c r="G55" s="26">
        <f t="shared" ref="G55" si="12">F55</f>
        <v>5.4583333333333338E-2</v>
      </c>
      <c r="H55" s="25"/>
      <c r="I55" s="25"/>
      <c r="J55" s="27"/>
    </row>
    <row r="56" spans="1:10" x14ac:dyDescent="0.25">
      <c r="A56" s="24"/>
      <c r="B56" s="15"/>
      <c r="C56" s="15" t="s">
        <v>91</v>
      </c>
      <c r="D56" s="25">
        <v>209</v>
      </c>
      <c r="E56" s="25" t="s">
        <v>49</v>
      </c>
      <c r="F56" s="26">
        <v>5.0358796296296297E-2</v>
      </c>
      <c r="G56" s="26">
        <f t="shared" ref="G56" si="13">F55+F56</f>
        <v>0.10494212962962964</v>
      </c>
      <c r="H56" s="25"/>
      <c r="I56" s="25"/>
      <c r="J56" s="27"/>
    </row>
    <row r="57" spans="1:10" x14ac:dyDescent="0.25">
      <c r="A57" s="24"/>
      <c r="B57" s="15"/>
      <c r="C57" s="15" t="s">
        <v>123</v>
      </c>
      <c r="D57" s="25">
        <v>309</v>
      </c>
      <c r="E57" s="25" t="s">
        <v>49</v>
      </c>
      <c r="F57" s="26">
        <v>5.1249999999999997E-2</v>
      </c>
      <c r="G57" s="26">
        <f t="shared" ref="G57" si="14">F55+F56+F57</f>
        <v>0.15619212962962964</v>
      </c>
      <c r="H57" s="25"/>
      <c r="I57" s="25"/>
      <c r="J57" s="27"/>
    </row>
    <row r="58" spans="1:10" x14ac:dyDescent="0.25">
      <c r="A58" s="24"/>
      <c r="B58" s="15"/>
      <c r="C58" s="15" t="s">
        <v>97</v>
      </c>
      <c r="D58" s="25">
        <v>409</v>
      </c>
      <c r="E58" s="25" t="s">
        <v>49</v>
      </c>
      <c r="F58" s="26">
        <v>6.6666666666666666E-2</v>
      </c>
      <c r="G58" s="26">
        <f t="shared" ref="G58" si="15">F55+F56+F57+F58</f>
        <v>0.22285879629629629</v>
      </c>
      <c r="H58" s="25">
        <v>8</v>
      </c>
      <c r="I58" s="25">
        <v>8</v>
      </c>
      <c r="J58" s="27"/>
    </row>
    <row r="59" spans="1:10" x14ac:dyDescent="0.25">
      <c r="A59" s="24"/>
      <c r="B59" s="15"/>
      <c r="C59" s="15"/>
      <c r="D59" s="25"/>
      <c r="E59" s="25"/>
      <c r="F59" s="25"/>
      <c r="G59" s="25"/>
      <c r="H59" s="25"/>
      <c r="I59" s="25"/>
      <c r="J59" s="27"/>
    </row>
    <row r="60" spans="1:10" x14ac:dyDescent="0.25">
      <c r="A60" s="24">
        <v>9</v>
      </c>
      <c r="B60" s="15" t="s">
        <v>29</v>
      </c>
      <c r="C60" s="15" t="s">
        <v>122</v>
      </c>
      <c r="D60" s="25">
        <v>107</v>
      </c>
      <c r="E60" s="25" t="s">
        <v>49</v>
      </c>
      <c r="F60" s="25" t="s">
        <v>325</v>
      </c>
      <c r="G60" s="26"/>
      <c r="H60" s="25"/>
      <c r="I60" s="25"/>
      <c r="J60" s="27"/>
    </row>
    <row r="61" spans="1:10" x14ac:dyDescent="0.25">
      <c r="A61" s="24"/>
      <c r="B61" s="15"/>
      <c r="C61" s="15" t="s">
        <v>124</v>
      </c>
      <c r="D61" s="25">
        <v>207</v>
      </c>
      <c r="E61" s="25" t="s">
        <v>49</v>
      </c>
      <c r="F61" s="25" t="s">
        <v>326</v>
      </c>
      <c r="G61" s="26"/>
      <c r="H61" s="25"/>
      <c r="I61" s="25"/>
      <c r="J61" s="27"/>
    </row>
    <row r="62" spans="1:10" x14ac:dyDescent="0.25">
      <c r="A62" s="24"/>
      <c r="B62" s="15"/>
      <c r="C62" s="15" t="s">
        <v>96</v>
      </c>
      <c r="D62" s="25">
        <v>307</v>
      </c>
      <c r="E62" s="25" t="s">
        <v>49</v>
      </c>
      <c r="F62" s="25" t="s">
        <v>326</v>
      </c>
      <c r="G62" s="26"/>
      <c r="H62" s="25"/>
      <c r="I62" s="25"/>
      <c r="J62" s="27"/>
    </row>
    <row r="63" spans="1:10" ht="13.8" thickBot="1" x14ac:dyDescent="0.3">
      <c r="A63" s="28"/>
      <c r="B63" s="29"/>
      <c r="C63" s="29" t="s">
        <v>88</v>
      </c>
      <c r="D63" s="30">
        <v>407</v>
      </c>
      <c r="E63" s="30" t="s">
        <v>49</v>
      </c>
      <c r="F63" s="30" t="s">
        <v>326</v>
      </c>
      <c r="G63" s="31" t="s">
        <v>327</v>
      </c>
      <c r="H63" s="30"/>
      <c r="I63" s="30"/>
      <c r="J63" s="32"/>
    </row>
    <row r="64" spans="1:10" x14ac:dyDescent="0.25">
      <c r="A64" s="3"/>
      <c r="C64"/>
    </row>
    <row r="65" spans="1:3" x14ac:dyDescent="0.25">
      <c r="A65" s="3"/>
      <c r="B65" s="1" t="s">
        <v>132</v>
      </c>
      <c r="C65" s="1"/>
    </row>
    <row r="66" spans="1:3" x14ac:dyDescent="0.25">
      <c r="A66" s="3"/>
      <c r="B66" s="1" t="s">
        <v>328</v>
      </c>
      <c r="C66" s="1"/>
    </row>
    <row r="67" spans="1:3" x14ac:dyDescent="0.25">
      <c r="A67" s="3"/>
      <c r="B67" s="1" t="s">
        <v>329</v>
      </c>
      <c r="C67" s="1"/>
    </row>
    <row r="68" spans="1:3" x14ac:dyDescent="0.25">
      <c r="A68" s="3"/>
      <c r="B68" s="1" t="s">
        <v>330</v>
      </c>
      <c r="C68" s="1"/>
    </row>
    <row r="69" spans="1:3" x14ac:dyDescent="0.25">
      <c r="A69" s="3"/>
      <c r="B69" s="1"/>
      <c r="C69" s="1"/>
    </row>
    <row r="70" spans="1:3" x14ac:dyDescent="0.25">
      <c r="A70" s="3"/>
      <c r="B70" s="1"/>
      <c r="C70" s="1"/>
    </row>
    <row r="71" spans="1:3" x14ac:dyDescent="0.25">
      <c r="A71" s="3"/>
      <c r="B71" s="2" t="s">
        <v>30</v>
      </c>
      <c r="C71" s="2" t="s">
        <v>32</v>
      </c>
    </row>
    <row r="72" spans="1:3" x14ac:dyDescent="0.25">
      <c r="A72" s="3"/>
      <c r="B72" s="2" t="s">
        <v>31</v>
      </c>
      <c r="C72" s="2" t="s">
        <v>33</v>
      </c>
    </row>
    <row r="73" spans="1:3" x14ac:dyDescent="0.25">
      <c r="A73" s="3"/>
      <c r="C73"/>
    </row>
    <row r="74" spans="1:3" x14ac:dyDescent="0.25">
      <c r="A74" s="3"/>
      <c r="C74"/>
    </row>
    <row r="75" spans="1:3" x14ac:dyDescent="0.25">
      <c r="A75" s="3"/>
      <c r="C75"/>
    </row>
    <row r="76" spans="1:3" x14ac:dyDescent="0.25">
      <c r="A76" s="3"/>
      <c r="C76"/>
    </row>
    <row r="77" spans="1:3" x14ac:dyDescent="0.25">
      <c r="A77" s="3"/>
      <c r="C77"/>
    </row>
    <row r="78" spans="1:3" x14ac:dyDescent="0.25">
      <c r="A78" s="3"/>
      <c r="C78"/>
    </row>
    <row r="79" spans="1:3" x14ac:dyDescent="0.25">
      <c r="A79" s="3"/>
      <c r="C79"/>
    </row>
    <row r="80" spans="1:3" x14ac:dyDescent="0.25">
      <c r="A80" s="3"/>
      <c r="C80"/>
    </row>
    <row r="81" spans="1:3" x14ac:dyDescent="0.25">
      <c r="A81" s="3"/>
      <c r="C81"/>
    </row>
    <row r="82" spans="1:3" x14ac:dyDescent="0.25">
      <c r="A82" s="3"/>
      <c r="C82"/>
    </row>
    <row r="83" spans="1:3" x14ac:dyDescent="0.25">
      <c r="A83" s="3"/>
      <c r="C83"/>
    </row>
    <row r="84" spans="1:3" x14ac:dyDescent="0.25">
      <c r="A84" s="3"/>
      <c r="C84"/>
    </row>
    <row r="85" spans="1:3" x14ac:dyDescent="0.25">
      <c r="A85" s="3"/>
      <c r="C85"/>
    </row>
    <row r="86" spans="1:3" x14ac:dyDescent="0.25">
      <c r="A86" s="3"/>
      <c r="C86"/>
    </row>
    <row r="87" spans="1:3" x14ac:dyDescent="0.25">
      <c r="A87" s="3"/>
      <c r="C87"/>
    </row>
    <row r="88" spans="1:3" x14ac:dyDescent="0.25">
      <c r="A88" s="3"/>
      <c r="C88"/>
    </row>
    <row r="89" spans="1:3" x14ac:dyDescent="0.25">
      <c r="A89" s="3"/>
      <c r="C89"/>
    </row>
    <row r="90" spans="1:3" x14ac:dyDescent="0.25">
      <c r="A90" s="3"/>
      <c r="C90"/>
    </row>
    <row r="91" spans="1:3" x14ac:dyDescent="0.25">
      <c r="A91" s="3"/>
      <c r="C91"/>
    </row>
    <row r="92" spans="1:3" x14ac:dyDescent="0.25">
      <c r="A92" s="3"/>
      <c r="C92"/>
    </row>
    <row r="93" spans="1:3" x14ac:dyDescent="0.25">
      <c r="A93" s="3"/>
      <c r="C93"/>
    </row>
    <row r="94" spans="1:3" x14ac:dyDescent="0.25">
      <c r="A94" s="3"/>
      <c r="C94"/>
    </row>
    <row r="95" spans="1:3" x14ac:dyDescent="0.25">
      <c r="A95" s="3"/>
      <c r="C95"/>
    </row>
    <row r="96" spans="1:3" x14ac:dyDescent="0.25">
      <c r="A96" s="3"/>
      <c r="C96"/>
    </row>
    <row r="97" spans="1:3" x14ac:dyDescent="0.25">
      <c r="A97" s="3"/>
      <c r="C97"/>
    </row>
    <row r="98" spans="1:3" x14ac:dyDescent="0.25">
      <c r="A98" s="3"/>
      <c r="C98"/>
    </row>
    <row r="99" spans="1:3" x14ac:dyDescent="0.25">
      <c r="A99" s="3"/>
      <c r="C99"/>
    </row>
    <row r="100" spans="1:3" x14ac:dyDescent="0.25">
      <c r="A100" s="3"/>
      <c r="C100"/>
    </row>
    <row r="101" spans="1:3" x14ac:dyDescent="0.25">
      <c r="A101" s="3"/>
      <c r="C101"/>
    </row>
    <row r="102" spans="1:3" x14ac:dyDescent="0.25">
      <c r="A102" s="3"/>
      <c r="C102"/>
    </row>
    <row r="103" spans="1:3" x14ac:dyDescent="0.25">
      <c r="A103" s="3"/>
      <c r="C103"/>
    </row>
    <row r="104" spans="1:3" x14ac:dyDescent="0.25">
      <c r="A104" s="3"/>
      <c r="C104"/>
    </row>
    <row r="105" spans="1:3" x14ac:dyDescent="0.25">
      <c r="A105" s="3"/>
      <c r="C105"/>
    </row>
    <row r="106" spans="1:3" x14ac:dyDescent="0.25">
      <c r="A106" s="3"/>
      <c r="C106"/>
    </row>
    <row r="107" spans="1:3" x14ac:dyDescent="0.25">
      <c r="A107" s="3"/>
    </row>
    <row r="108" spans="1:3" x14ac:dyDescent="0.25">
      <c r="A108" s="3"/>
    </row>
    <row r="109" spans="1:3" x14ac:dyDescent="0.25">
      <c r="A109" s="3"/>
    </row>
    <row r="110" spans="1:3" x14ac:dyDescent="0.25">
      <c r="A110" s="3"/>
    </row>
    <row r="111" spans="1:3" x14ac:dyDescent="0.25">
      <c r="A111" s="3"/>
    </row>
    <row r="112" spans="1:3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x14ac:dyDescent="0.25">
      <c r="A144" s="3"/>
    </row>
    <row r="145" spans="1:1" x14ac:dyDescent="0.25">
      <c r="A145" s="3"/>
    </row>
    <row r="146" spans="1:1" x14ac:dyDescent="0.25">
      <c r="A146" s="3"/>
    </row>
    <row r="147" spans="1:1" x14ac:dyDescent="0.25">
      <c r="A147" s="3"/>
    </row>
    <row r="148" spans="1:1" x14ac:dyDescent="0.25">
      <c r="A148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/>
  <dimension ref="A1:J99"/>
  <sheetViews>
    <sheetView topLeftCell="A18" workbookViewId="0">
      <selection activeCell="D25" sqref="D25"/>
    </sheetView>
  </sheetViews>
  <sheetFormatPr defaultRowHeight="13.2" x14ac:dyDescent="0.25"/>
  <cols>
    <col min="1" max="1" width="7.6640625" style="2" customWidth="1"/>
    <col min="2" max="2" width="25.6640625" style="2" customWidth="1"/>
    <col min="3" max="3" width="22" style="2" customWidth="1"/>
    <col min="4" max="4" width="11.88671875" style="3" customWidth="1"/>
    <col min="5" max="5" width="9.44140625" style="3" customWidth="1"/>
    <col min="6" max="6" width="14.6640625" style="3" customWidth="1"/>
    <col min="7" max="7" width="13.21875" style="3" customWidth="1"/>
    <col min="8" max="9" width="7.33203125" style="3" customWidth="1"/>
    <col min="10" max="10" width="15.5546875" style="3" customWidth="1"/>
    <col min="11" max="16384" width="8.88671875" style="2"/>
  </cols>
  <sheetData>
    <row r="1" spans="1:2" x14ac:dyDescent="0.25">
      <c r="A1" s="2" t="s">
        <v>13</v>
      </c>
      <c r="B1" s="1"/>
    </row>
    <row r="2" spans="1:2" x14ac:dyDescent="0.25">
      <c r="A2" s="2" t="s">
        <v>14</v>
      </c>
      <c r="B2" s="1"/>
    </row>
    <row r="3" spans="1:2" x14ac:dyDescent="0.25">
      <c r="A3" s="1"/>
      <c r="B3" s="1"/>
    </row>
    <row r="4" spans="1:2" x14ac:dyDescent="0.25">
      <c r="A4" s="1" t="s">
        <v>44</v>
      </c>
      <c r="B4" s="1"/>
    </row>
    <row r="5" spans="1:2" x14ac:dyDescent="0.25">
      <c r="A5" s="1" t="s">
        <v>319</v>
      </c>
      <c r="B5" s="1"/>
    </row>
    <row r="6" spans="1:2" x14ac:dyDescent="0.25">
      <c r="A6" s="1"/>
      <c r="B6" s="1"/>
    </row>
    <row r="7" spans="1:2" x14ac:dyDescent="0.25">
      <c r="A7" s="1" t="s">
        <v>331</v>
      </c>
      <c r="B7" s="1"/>
    </row>
    <row r="8" spans="1:2" x14ac:dyDescent="0.25">
      <c r="A8" s="1" t="s">
        <v>332</v>
      </c>
      <c r="B8" s="1"/>
    </row>
    <row r="9" spans="1:2" x14ac:dyDescent="0.25">
      <c r="A9" s="1" t="s">
        <v>322</v>
      </c>
      <c r="B9" s="1"/>
    </row>
    <row r="10" spans="1:2" x14ac:dyDescent="0.25">
      <c r="A10" s="1"/>
      <c r="B10" s="1"/>
    </row>
    <row r="11" spans="1:2" x14ac:dyDescent="0.25">
      <c r="A11" s="1" t="s">
        <v>333</v>
      </c>
      <c r="B11" s="1"/>
    </row>
    <row r="12" spans="1:2" x14ac:dyDescent="0.25">
      <c r="A12" s="1"/>
      <c r="B12" s="1"/>
    </row>
    <row r="13" spans="1:2" x14ac:dyDescent="0.25">
      <c r="A13" s="2" t="s">
        <v>324</v>
      </c>
      <c r="B13" s="1"/>
    </row>
    <row r="14" spans="1:2" x14ac:dyDescent="0.25">
      <c r="A14" s="2" t="s">
        <v>16</v>
      </c>
      <c r="B14" s="1"/>
    </row>
    <row r="15" spans="1:2" x14ac:dyDescent="0.25">
      <c r="A15" s="1"/>
      <c r="B15" s="1"/>
    </row>
    <row r="16" spans="1:2" x14ac:dyDescent="0.25">
      <c r="A16" s="1" t="s">
        <v>142</v>
      </c>
      <c r="B16" s="1"/>
    </row>
    <row r="18" spans="1:10" ht="13.8" thickBot="1" x14ac:dyDescent="0.3"/>
    <row r="19" spans="1:10" ht="27" thickBot="1" x14ac:dyDescent="0.3">
      <c r="A19" s="33" t="s">
        <v>17</v>
      </c>
      <c r="B19" s="34" t="s">
        <v>1</v>
      </c>
      <c r="C19" s="34" t="s">
        <v>309</v>
      </c>
      <c r="D19" s="34" t="s">
        <v>81</v>
      </c>
      <c r="E19" s="34" t="s">
        <v>310</v>
      </c>
      <c r="F19" s="34" t="s">
        <v>311</v>
      </c>
      <c r="G19" s="34" t="s">
        <v>312</v>
      </c>
      <c r="H19" s="34" t="s">
        <v>22</v>
      </c>
      <c r="I19" s="34" t="s">
        <v>39</v>
      </c>
      <c r="J19" s="35" t="s">
        <v>313</v>
      </c>
    </row>
    <row r="20" spans="1:10" x14ac:dyDescent="0.25">
      <c r="A20" s="24">
        <v>1</v>
      </c>
      <c r="B20" s="15" t="s">
        <v>10</v>
      </c>
      <c r="C20" s="15" t="s">
        <v>159</v>
      </c>
      <c r="D20" s="25">
        <v>113</v>
      </c>
      <c r="E20" s="25" t="s">
        <v>49</v>
      </c>
      <c r="F20" s="26">
        <v>3.3125000000000002E-2</v>
      </c>
      <c r="G20" s="26">
        <f>F20</f>
        <v>3.3125000000000002E-2</v>
      </c>
      <c r="H20" s="25"/>
      <c r="I20" s="25"/>
      <c r="J20" s="27" t="s">
        <v>49</v>
      </c>
    </row>
    <row r="21" spans="1:10" x14ac:dyDescent="0.25">
      <c r="A21" s="24"/>
      <c r="B21" s="15"/>
      <c r="C21" s="15" t="s">
        <v>160</v>
      </c>
      <c r="D21" s="25">
        <v>213</v>
      </c>
      <c r="E21" s="25" t="s">
        <v>49</v>
      </c>
      <c r="F21" s="26">
        <v>4.2152777777777782E-2</v>
      </c>
      <c r="G21" s="26">
        <f>F20+F21</f>
        <v>7.5277777777777777E-2</v>
      </c>
      <c r="H21" s="25"/>
      <c r="I21" s="25"/>
      <c r="J21" s="27" t="s">
        <v>49</v>
      </c>
    </row>
    <row r="22" spans="1:10" x14ac:dyDescent="0.25">
      <c r="A22" s="24"/>
      <c r="B22" s="15"/>
      <c r="C22" s="15" t="s">
        <v>147</v>
      </c>
      <c r="D22" s="25">
        <v>313</v>
      </c>
      <c r="E22" s="25" t="s">
        <v>49</v>
      </c>
      <c r="F22" s="26">
        <v>0.04</v>
      </c>
      <c r="G22" s="26">
        <f>F20+F21+F22</f>
        <v>0.11527777777777778</v>
      </c>
      <c r="H22" s="25"/>
      <c r="I22" s="25"/>
      <c r="J22" s="27" t="s">
        <v>49</v>
      </c>
    </row>
    <row r="23" spans="1:10" x14ac:dyDescent="0.25">
      <c r="A23" s="24"/>
      <c r="B23" s="15"/>
      <c r="C23" s="15" t="s">
        <v>156</v>
      </c>
      <c r="D23" s="25">
        <v>413</v>
      </c>
      <c r="E23" s="25" t="s">
        <v>49</v>
      </c>
      <c r="F23" s="26">
        <v>3.6909722222222226E-2</v>
      </c>
      <c r="G23" s="26">
        <f>F20+F21+F22+F23</f>
        <v>0.1521875</v>
      </c>
      <c r="H23" s="25">
        <v>1</v>
      </c>
      <c r="I23" s="25">
        <v>1</v>
      </c>
      <c r="J23" s="27" t="s">
        <v>49</v>
      </c>
    </row>
    <row r="24" spans="1:10" x14ac:dyDescent="0.25">
      <c r="A24" s="24"/>
      <c r="B24" s="15"/>
      <c r="C24" s="15"/>
      <c r="D24" s="25"/>
      <c r="E24" s="25"/>
      <c r="F24" s="25"/>
      <c r="G24" s="25"/>
      <c r="H24" s="25"/>
      <c r="I24" s="25"/>
      <c r="J24" s="27"/>
    </row>
    <row r="25" spans="1:10" x14ac:dyDescent="0.25">
      <c r="A25" s="24">
        <v>2</v>
      </c>
      <c r="B25" s="15" t="s">
        <v>11</v>
      </c>
      <c r="C25" s="15" t="s">
        <v>163</v>
      </c>
      <c r="D25" s="25">
        <v>115</v>
      </c>
      <c r="E25" s="25" t="s">
        <v>49</v>
      </c>
      <c r="F25" s="26">
        <v>4.4189814814814814E-2</v>
      </c>
      <c r="G25" s="26">
        <f t="shared" ref="G25" si="0">F25</f>
        <v>4.4189814814814814E-2</v>
      </c>
      <c r="H25" s="25"/>
      <c r="I25" s="25"/>
      <c r="J25" s="27" t="s">
        <v>49</v>
      </c>
    </row>
    <row r="26" spans="1:10" x14ac:dyDescent="0.25">
      <c r="A26" s="24"/>
      <c r="B26" s="15"/>
      <c r="C26" s="15" t="s">
        <v>215</v>
      </c>
      <c r="D26" s="25">
        <v>215</v>
      </c>
      <c r="E26" s="25" t="s">
        <v>49</v>
      </c>
      <c r="F26" s="26">
        <v>3.5590277777777776E-2</v>
      </c>
      <c r="G26" s="26">
        <f t="shared" ref="G26" si="1">F25+F26</f>
        <v>7.9780092592592583E-2</v>
      </c>
      <c r="H26" s="25"/>
      <c r="I26" s="25"/>
      <c r="J26" s="27" t="s">
        <v>49</v>
      </c>
    </row>
    <row r="27" spans="1:10" x14ac:dyDescent="0.25">
      <c r="A27" s="24"/>
      <c r="B27" s="15"/>
      <c r="C27" s="15" t="s">
        <v>151</v>
      </c>
      <c r="D27" s="25">
        <v>315</v>
      </c>
      <c r="E27" s="25" t="s">
        <v>49</v>
      </c>
      <c r="F27" s="26">
        <v>3.6469907407407402E-2</v>
      </c>
      <c r="G27" s="26">
        <f t="shared" ref="G27" si="2">F25+F26+F27</f>
        <v>0.11624999999999999</v>
      </c>
      <c r="H27" s="25"/>
      <c r="I27" s="25"/>
      <c r="J27" s="27" t="s">
        <v>49</v>
      </c>
    </row>
    <row r="28" spans="1:10" x14ac:dyDescent="0.25">
      <c r="A28" s="24"/>
      <c r="B28" s="15"/>
      <c r="C28" s="15" t="s">
        <v>144</v>
      </c>
      <c r="D28" s="25">
        <v>415</v>
      </c>
      <c r="E28" s="25" t="s">
        <v>49</v>
      </c>
      <c r="F28" s="26">
        <v>4.0347222222222222E-2</v>
      </c>
      <c r="G28" s="26">
        <f t="shared" ref="G28" si="3">F25+F26+F27+F28</f>
        <v>0.15659722222222222</v>
      </c>
      <c r="H28" s="25">
        <v>2</v>
      </c>
      <c r="I28" s="25">
        <v>2</v>
      </c>
      <c r="J28" s="27" t="s">
        <v>49</v>
      </c>
    </row>
    <row r="29" spans="1:10" x14ac:dyDescent="0.25">
      <c r="A29" s="24"/>
      <c r="B29" s="15"/>
      <c r="C29" s="15"/>
      <c r="D29" s="25"/>
      <c r="E29" s="25"/>
      <c r="F29" s="25"/>
      <c r="G29" s="25"/>
      <c r="H29" s="25"/>
      <c r="I29" s="25"/>
      <c r="J29" s="27"/>
    </row>
    <row r="30" spans="1:10" x14ac:dyDescent="0.25">
      <c r="A30" s="24">
        <v>3</v>
      </c>
      <c r="B30" s="15" t="s">
        <v>26</v>
      </c>
      <c r="C30" s="15" t="s">
        <v>212</v>
      </c>
      <c r="D30" s="25">
        <v>116</v>
      </c>
      <c r="E30" s="25" t="s">
        <v>49</v>
      </c>
      <c r="F30" s="26">
        <v>3.3425925925925921E-2</v>
      </c>
      <c r="G30" s="26">
        <f t="shared" ref="G30" si="4">F30</f>
        <v>3.3425925925925921E-2</v>
      </c>
      <c r="H30" s="25"/>
      <c r="I30" s="25"/>
      <c r="J30" s="27" t="s">
        <v>49</v>
      </c>
    </row>
    <row r="31" spans="1:10" x14ac:dyDescent="0.25">
      <c r="A31" s="24"/>
      <c r="B31" s="15"/>
      <c r="C31" s="15" t="s">
        <v>148</v>
      </c>
      <c r="D31" s="25">
        <v>216</v>
      </c>
      <c r="E31" s="25" t="s">
        <v>49</v>
      </c>
      <c r="F31" s="26">
        <v>4.1967592592592591E-2</v>
      </c>
      <c r="G31" s="26">
        <f t="shared" ref="G31" si="5">F30+F31</f>
        <v>7.5393518518518512E-2</v>
      </c>
      <c r="H31" s="25"/>
      <c r="I31" s="25"/>
      <c r="J31" s="27" t="s">
        <v>49</v>
      </c>
    </row>
    <row r="32" spans="1:10" x14ac:dyDescent="0.25">
      <c r="A32" s="24"/>
      <c r="B32" s="15"/>
      <c r="C32" s="15" t="s">
        <v>203</v>
      </c>
      <c r="D32" s="25">
        <v>316</v>
      </c>
      <c r="E32" s="25" t="s">
        <v>49</v>
      </c>
      <c r="F32" s="26">
        <v>4.6053240740740742E-2</v>
      </c>
      <c r="G32" s="26">
        <f t="shared" ref="G32" si="6">F30+F31+F32</f>
        <v>0.12144675925925925</v>
      </c>
      <c r="H32" s="25"/>
      <c r="I32" s="25"/>
      <c r="J32" s="27" t="s">
        <v>49</v>
      </c>
    </row>
    <row r="33" spans="1:10" x14ac:dyDescent="0.25">
      <c r="A33" s="24"/>
      <c r="B33" s="15"/>
      <c r="C33" s="15" t="s">
        <v>153</v>
      </c>
      <c r="D33" s="25">
        <v>416</v>
      </c>
      <c r="E33" s="25" t="s">
        <v>49</v>
      </c>
      <c r="F33" s="26">
        <v>3.9409722222222221E-2</v>
      </c>
      <c r="G33" s="26">
        <f t="shared" ref="G33" si="7">F30+F31+F32+F33</f>
        <v>0.16085648148148146</v>
      </c>
      <c r="H33" s="25">
        <v>3</v>
      </c>
      <c r="I33" s="25">
        <v>3</v>
      </c>
      <c r="J33" s="27" t="s">
        <v>49</v>
      </c>
    </row>
    <row r="34" spans="1:10" x14ac:dyDescent="0.25">
      <c r="A34" s="24"/>
      <c r="B34" s="15"/>
      <c r="C34" s="15"/>
      <c r="D34" s="25"/>
      <c r="E34" s="25"/>
      <c r="F34" s="25"/>
      <c r="G34" s="25"/>
      <c r="H34" s="25"/>
      <c r="I34" s="25"/>
      <c r="J34" s="27"/>
    </row>
    <row r="35" spans="1:10" x14ac:dyDescent="0.25">
      <c r="A35" s="24">
        <v>4</v>
      </c>
      <c r="B35" s="15" t="s">
        <v>7</v>
      </c>
      <c r="C35" s="15" t="s">
        <v>143</v>
      </c>
      <c r="D35" s="25">
        <v>112</v>
      </c>
      <c r="E35" s="25" t="s">
        <v>49</v>
      </c>
      <c r="F35" s="26">
        <v>3.7777777777777778E-2</v>
      </c>
      <c r="G35" s="26">
        <f t="shared" ref="G35" si="8">F35</f>
        <v>3.7777777777777778E-2</v>
      </c>
      <c r="H35" s="25"/>
      <c r="I35" s="25"/>
      <c r="J35" s="27" t="s">
        <v>84</v>
      </c>
    </row>
    <row r="36" spans="1:10" x14ac:dyDescent="0.25">
      <c r="A36" s="24"/>
      <c r="B36" s="15"/>
      <c r="C36" s="15" t="s">
        <v>138</v>
      </c>
      <c r="D36" s="25">
        <v>212</v>
      </c>
      <c r="E36" s="25" t="s">
        <v>49</v>
      </c>
      <c r="F36" s="26">
        <v>5.0069444444444444E-2</v>
      </c>
      <c r="G36" s="26">
        <f t="shared" ref="G36" si="9">F35+F36</f>
        <v>8.7847222222222215E-2</v>
      </c>
      <c r="H36" s="25"/>
      <c r="I36" s="25"/>
      <c r="J36" s="27" t="s">
        <v>84</v>
      </c>
    </row>
    <row r="37" spans="1:10" x14ac:dyDescent="0.25">
      <c r="A37" s="24"/>
      <c r="B37" s="15"/>
      <c r="C37" s="15" t="s">
        <v>135</v>
      </c>
      <c r="D37" s="25">
        <v>312</v>
      </c>
      <c r="E37" s="25" t="s">
        <v>49</v>
      </c>
      <c r="F37" s="26">
        <v>3.3587962962962965E-2</v>
      </c>
      <c r="G37" s="26">
        <f t="shared" ref="G37" si="10">F35+F36+F37</f>
        <v>0.12143518518518517</v>
      </c>
      <c r="H37" s="25"/>
      <c r="I37" s="25"/>
      <c r="J37" s="27" t="s">
        <v>84</v>
      </c>
    </row>
    <row r="38" spans="1:10" x14ac:dyDescent="0.25">
      <c r="A38" s="24"/>
      <c r="B38" s="15"/>
      <c r="C38" s="15" t="s">
        <v>152</v>
      </c>
      <c r="D38" s="25">
        <v>412</v>
      </c>
      <c r="E38" s="25" t="s">
        <v>49</v>
      </c>
      <c r="F38" s="26">
        <v>4.4699074074074079E-2</v>
      </c>
      <c r="G38" s="26">
        <f t="shared" ref="G38" si="11">F35+F36+F37+F38</f>
        <v>0.16613425925925926</v>
      </c>
      <c r="H38" s="25">
        <v>4</v>
      </c>
      <c r="I38" s="25">
        <v>4</v>
      </c>
      <c r="J38" s="27" t="s">
        <v>84</v>
      </c>
    </row>
    <row r="39" spans="1:10" x14ac:dyDescent="0.25">
      <c r="A39" s="24"/>
      <c r="B39" s="15"/>
      <c r="C39" s="15"/>
      <c r="D39" s="25"/>
      <c r="E39" s="25"/>
      <c r="F39" s="25"/>
      <c r="G39" s="25"/>
      <c r="H39" s="25"/>
      <c r="I39" s="25"/>
      <c r="J39" s="27"/>
    </row>
    <row r="40" spans="1:10" x14ac:dyDescent="0.25">
      <c r="A40" s="24">
        <v>5</v>
      </c>
      <c r="B40" s="15" t="s">
        <v>27</v>
      </c>
      <c r="C40" s="15" t="s">
        <v>213</v>
      </c>
      <c r="D40" s="25">
        <v>117</v>
      </c>
      <c r="E40" s="25" t="s">
        <v>49</v>
      </c>
      <c r="F40" s="26">
        <v>4.2152777777777782E-2</v>
      </c>
      <c r="G40" s="26">
        <f t="shared" ref="G40" si="12">F40</f>
        <v>4.2152777777777782E-2</v>
      </c>
      <c r="H40" s="25"/>
      <c r="I40" s="25"/>
      <c r="J40" s="27" t="s">
        <v>84</v>
      </c>
    </row>
    <row r="41" spans="1:10" x14ac:dyDescent="0.25">
      <c r="A41" s="24"/>
      <c r="B41" s="15"/>
      <c r="C41" s="15" t="s">
        <v>200</v>
      </c>
      <c r="D41" s="25">
        <v>217</v>
      </c>
      <c r="E41" s="25" t="s">
        <v>49</v>
      </c>
      <c r="F41" s="26">
        <v>4.2708333333333327E-2</v>
      </c>
      <c r="G41" s="26">
        <f t="shared" ref="G41" si="13">F40+F41</f>
        <v>8.4861111111111109E-2</v>
      </c>
      <c r="H41" s="25"/>
      <c r="I41" s="25"/>
      <c r="J41" s="27" t="s">
        <v>84</v>
      </c>
    </row>
    <row r="42" spans="1:10" x14ac:dyDescent="0.25">
      <c r="A42" s="24"/>
      <c r="B42" s="15"/>
      <c r="C42" s="15" t="s">
        <v>207</v>
      </c>
      <c r="D42" s="25">
        <v>317</v>
      </c>
      <c r="E42" s="25" t="s">
        <v>49</v>
      </c>
      <c r="F42" s="26">
        <v>3.7418981481481477E-2</v>
      </c>
      <c r="G42" s="26">
        <f t="shared" ref="G42" si="14">F40+F41+F42</f>
        <v>0.12228009259259259</v>
      </c>
      <c r="H42" s="25"/>
      <c r="I42" s="25"/>
      <c r="J42" s="27" t="s">
        <v>84</v>
      </c>
    </row>
    <row r="43" spans="1:10" x14ac:dyDescent="0.25">
      <c r="A43" s="24"/>
      <c r="B43" s="15"/>
      <c r="C43" s="15" t="s">
        <v>150</v>
      </c>
      <c r="D43" s="25">
        <v>417</v>
      </c>
      <c r="E43" s="25" t="s">
        <v>49</v>
      </c>
      <c r="F43" s="26">
        <v>4.3946759259259255E-2</v>
      </c>
      <c r="G43" s="26">
        <f t="shared" ref="G43" si="15">F40+F41+F42+F43</f>
        <v>0.16622685185185185</v>
      </c>
      <c r="H43" s="25">
        <v>5</v>
      </c>
      <c r="I43" s="25">
        <v>5</v>
      </c>
      <c r="J43" s="27" t="s">
        <v>84</v>
      </c>
    </row>
    <row r="44" spans="1:10" x14ac:dyDescent="0.25">
      <c r="A44" s="24"/>
      <c r="B44" s="15"/>
      <c r="C44" s="15"/>
      <c r="D44" s="25"/>
      <c r="E44" s="25"/>
      <c r="F44" s="25"/>
      <c r="G44" s="25"/>
      <c r="H44" s="25"/>
      <c r="I44" s="25"/>
      <c r="J44" s="27"/>
    </row>
    <row r="45" spans="1:10" x14ac:dyDescent="0.25">
      <c r="A45" s="24">
        <v>6</v>
      </c>
      <c r="B45" s="15" t="s">
        <v>12</v>
      </c>
      <c r="C45" s="15" t="s">
        <v>139</v>
      </c>
      <c r="D45" s="25">
        <v>111</v>
      </c>
      <c r="E45" s="25" t="s">
        <v>49</v>
      </c>
      <c r="F45" s="26">
        <v>4.221064814814815E-2</v>
      </c>
      <c r="G45" s="26">
        <f t="shared" ref="G45" si="16">F45</f>
        <v>4.221064814814815E-2</v>
      </c>
      <c r="H45" s="25"/>
      <c r="I45" s="25"/>
      <c r="J45" s="27" t="s">
        <v>84</v>
      </c>
    </row>
    <row r="46" spans="1:10" x14ac:dyDescent="0.25">
      <c r="A46" s="24"/>
      <c r="B46" s="15"/>
      <c r="C46" s="15" t="s">
        <v>155</v>
      </c>
      <c r="D46" s="25">
        <v>211</v>
      </c>
      <c r="E46" s="25" t="s">
        <v>49</v>
      </c>
      <c r="F46" s="26">
        <v>4.3032407407407408E-2</v>
      </c>
      <c r="G46" s="26">
        <f t="shared" ref="G46" si="17">F45+F46</f>
        <v>8.5243055555555558E-2</v>
      </c>
      <c r="H46" s="25"/>
      <c r="I46" s="25"/>
      <c r="J46" s="27" t="s">
        <v>84</v>
      </c>
    </row>
    <row r="47" spans="1:10" x14ac:dyDescent="0.25">
      <c r="A47" s="24"/>
      <c r="B47" s="15"/>
      <c r="C47" s="15" t="s">
        <v>157</v>
      </c>
      <c r="D47" s="25">
        <v>311</v>
      </c>
      <c r="E47" s="25" t="s">
        <v>49</v>
      </c>
      <c r="F47" s="26">
        <v>3.3842592592592598E-2</v>
      </c>
      <c r="G47" s="26">
        <f t="shared" ref="G47" si="18">F45+F46+F47</f>
        <v>0.11908564814814815</v>
      </c>
      <c r="H47" s="25"/>
      <c r="I47" s="25"/>
      <c r="J47" s="27" t="s">
        <v>84</v>
      </c>
    </row>
    <row r="48" spans="1:10" x14ac:dyDescent="0.25">
      <c r="A48" s="24"/>
      <c r="B48" s="15"/>
      <c r="C48" s="15" t="s">
        <v>137</v>
      </c>
      <c r="D48" s="25">
        <v>411</v>
      </c>
      <c r="E48" s="25" t="s">
        <v>49</v>
      </c>
      <c r="F48" s="26">
        <v>4.7280092592592589E-2</v>
      </c>
      <c r="G48" s="26">
        <f t="shared" ref="G48" si="19">F45+F46+F47+F48</f>
        <v>0.16636574074074073</v>
      </c>
      <c r="H48" s="25">
        <v>6</v>
      </c>
      <c r="I48" s="25">
        <v>6</v>
      </c>
      <c r="J48" s="27" t="s">
        <v>84</v>
      </c>
    </row>
    <row r="49" spans="1:10" x14ac:dyDescent="0.25">
      <c r="A49" s="24"/>
      <c r="B49" s="15"/>
      <c r="C49" s="15"/>
      <c r="D49" s="25"/>
      <c r="E49" s="25"/>
      <c r="F49" s="25"/>
      <c r="G49" s="25"/>
      <c r="H49" s="25"/>
      <c r="I49" s="25"/>
      <c r="J49" s="27"/>
    </row>
    <row r="50" spans="1:10" x14ac:dyDescent="0.25">
      <c r="A50" s="24">
        <v>7</v>
      </c>
      <c r="B50" s="15" t="s">
        <v>28</v>
      </c>
      <c r="C50" s="15" t="s">
        <v>154</v>
      </c>
      <c r="D50" s="25">
        <v>114</v>
      </c>
      <c r="E50" s="25" t="s">
        <v>49</v>
      </c>
      <c r="F50" s="26">
        <v>5.8171296296296297E-2</v>
      </c>
      <c r="G50" s="26">
        <f t="shared" ref="G50" si="20">F50</f>
        <v>5.8171296296296297E-2</v>
      </c>
      <c r="H50" s="25"/>
      <c r="I50" s="25"/>
      <c r="J50" s="27"/>
    </row>
    <row r="51" spans="1:10" x14ac:dyDescent="0.25">
      <c r="A51" s="24"/>
      <c r="B51" s="15"/>
      <c r="C51" s="15" t="s">
        <v>161</v>
      </c>
      <c r="D51" s="25">
        <v>214</v>
      </c>
      <c r="E51" s="25" t="s">
        <v>49</v>
      </c>
      <c r="F51" s="26">
        <v>3.7893518518518521E-2</v>
      </c>
      <c r="G51" s="26">
        <f t="shared" ref="G51" si="21">F50+F51</f>
        <v>9.6064814814814825E-2</v>
      </c>
      <c r="H51" s="25"/>
      <c r="I51" s="25"/>
      <c r="J51" s="27"/>
    </row>
    <row r="52" spans="1:10" x14ac:dyDescent="0.25">
      <c r="A52" s="24"/>
      <c r="B52" s="15"/>
      <c r="C52" s="15" t="s">
        <v>146</v>
      </c>
      <c r="D52" s="25">
        <v>314</v>
      </c>
      <c r="E52" s="25" t="s">
        <v>49</v>
      </c>
      <c r="F52" s="26">
        <v>3.605324074074074E-2</v>
      </c>
      <c r="G52" s="26">
        <f t="shared" ref="G52" si="22">F50+F51+F52</f>
        <v>0.13211805555555556</v>
      </c>
      <c r="H52" s="25"/>
      <c r="I52" s="25"/>
      <c r="J52" s="27"/>
    </row>
    <row r="53" spans="1:10" x14ac:dyDescent="0.25">
      <c r="A53" s="24"/>
      <c r="B53" s="15"/>
      <c r="C53" s="15" t="s">
        <v>136</v>
      </c>
      <c r="D53" s="25">
        <v>414</v>
      </c>
      <c r="E53" s="25" t="s">
        <v>49</v>
      </c>
      <c r="F53" s="26">
        <v>4.8518518518518516E-2</v>
      </c>
      <c r="G53" s="26">
        <f t="shared" ref="G53" si="23">F50+F51+F52+F53</f>
        <v>0.18063657407407407</v>
      </c>
      <c r="H53" s="25">
        <v>7</v>
      </c>
      <c r="I53" s="25">
        <v>7</v>
      </c>
      <c r="J53" s="27"/>
    </row>
    <row r="54" spans="1:10" x14ac:dyDescent="0.25">
      <c r="A54" s="24"/>
      <c r="B54" s="15"/>
      <c r="C54" s="15"/>
      <c r="D54" s="25"/>
      <c r="E54" s="25"/>
      <c r="F54" s="25"/>
      <c r="G54" s="25"/>
      <c r="H54" s="25"/>
      <c r="I54" s="25"/>
      <c r="J54" s="27"/>
    </row>
    <row r="55" spans="1:10" x14ac:dyDescent="0.25">
      <c r="A55" s="24">
        <v>8</v>
      </c>
      <c r="B55" s="15" t="s">
        <v>29</v>
      </c>
      <c r="C55" s="15" t="s">
        <v>199</v>
      </c>
      <c r="D55" s="25">
        <v>119</v>
      </c>
      <c r="E55" s="25" t="s">
        <v>84</v>
      </c>
      <c r="F55" s="26">
        <v>3.7048611111111109E-2</v>
      </c>
      <c r="G55" s="26">
        <f t="shared" ref="G55" si="24">F55</f>
        <v>3.7048611111111109E-2</v>
      </c>
      <c r="H55" s="25"/>
      <c r="I55" s="25"/>
      <c r="J55" s="27"/>
    </row>
    <row r="56" spans="1:10" x14ac:dyDescent="0.25">
      <c r="A56" s="24"/>
      <c r="B56" s="15"/>
      <c r="C56" s="15" t="s">
        <v>217</v>
      </c>
      <c r="D56" s="25">
        <v>219</v>
      </c>
      <c r="E56" s="25" t="s">
        <v>84</v>
      </c>
      <c r="F56" s="26">
        <v>5.226851851851852E-2</v>
      </c>
      <c r="G56" s="26">
        <f t="shared" ref="G56" si="25">F55+F56</f>
        <v>8.9317129629629621E-2</v>
      </c>
      <c r="H56" s="25"/>
      <c r="I56" s="25"/>
      <c r="J56" s="27"/>
    </row>
    <row r="57" spans="1:10" x14ac:dyDescent="0.25">
      <c r="A57" s="24"/>
      <c r="B57" s="15"/>
      <c r="C57" s="15" t="s">
        <v>197</v>
      </c>
      <c r="D57" s="25">
        <v>319</v>
      </c>
      <c r="E57" s="25" t="s">
        <v>49</v>
      </c>
      <c r="F57" s="26">
        <v>5.5069444444444449E-2</v>
      </c>
      <c r="G57" s="26">
        <f t="shared" ref="G57" si="26">F55+F56+F57</f>
        <v>0.14438657407407407</v>
      </c>
      <c r="H57" s="25"/>
      <c r="I57" s="25"/>
      <c r="J57" s="27"/>
    </row>
    <row r="58" spans="1:10" x14ac:dyDescent="0.25">
      <c r="A58" s="24"/>
      <c r="B58" s="15"/>
      <c r="C58" s="15" t="s">
        <v>216</v>
      </c>
      <c r="D58" s="25">
        <v>419</v>
      </c>
      <c r="E58" s="25" t="s">
        <v>84</v>
      </c>
      <c r="F58" s="26">
        <v>5.482638888888889E-2</v>
      </c>
      <c r="G58" s="26">
        <f t="shared" ref="G58" si="27">F55+F56+F57+F58</f>
        <v>0.19921296296296295</v>
      </c>
      <c r="H58" s="25">
        <v>8</v>
      </c>
      <c r="I58" s="25">
        <v>8</v>
      </c>
      <c r="J58" s="27"/>
    </row>
    <row r="59" spans="1:10" x14ac:dyDescent="0.25">
      <c r="A59" s="24"/>
      <c r="B59" s="15"/>
      <c r="C59" s="15"/>
      <c r="D59" s="25"/>
      <c r="E59" s="25"/>
      <c r="F59" s="25"/>
      <c r="G59" s="25"/>
      <c r="H59" s="25"/>
      <c r="I59" s="25"/>
      <c r="J59" s="27"/>
    </row>
    <row r="60" spans="1:10" x14ac:dyDescent="0.25">
      <c r="A60" s="24">
        <v>9</v>
      </c>
      <c r="B60" s="15" t="s">
        <v>9</v>
      </c>
      <c r="C60" s="15" t="s">
        <v>209</v>
      </c>
      <c r="D60" s="25">
        <v>118</v>
      </c>
      <c r="E60" s="25" t="s">
        <v>49</v>
      </c>
      <c r="F60" s="26">
        <v>4.0543981481481479E-2</v>
      </c>
      <c r="G60" s="26">
        <f t="shared" ref="G60" si="28">F60</f>
        <v>4.0543981481481479E-2</v>
      </c>
      <c r="H60" s="25"/>
      <c r="I60" s="25"/>
      <c r="J60" s="27"/>
    </row>
    <row r="61" spans="1:10" x14ac:dyDescent="0.25">
      <c r="A61" s="24"/>
      <c r="B61" s="15"/>
      <c r="C61" s="15" t="s">
        <v>201</v>
      </c>
      <c r="D61" s="25">
        <v>218</v>
      </c>
      <c r="E61" s="25" t="s">
        <v>84</v>
      </c>
      <c r="F61" s="26">
        <v>6.3599537037037038E-2</v>
      </c>
      <c r="G61" s="26">
        <f t="shared" ref="G61" si="29">F60+F61</f>
        <v>0.10414351851851852</v>
      </c>
      <c r="H61" s="25"/>
      <c r="I61" s="25"/>
      <c r="J61" s="27"/>
    </row>
    <row r="62" spans="1:10" x14ac:dyDescent="0.25">
      <c r="A62" s="24"/>
      <c r="B62" s="15"/>
      <c r="C62" s="15" t="s">
        <v>211</v>
      </c>
      <c r="D62" s="25">
        <v>318</v>
      </c>
      <c r="E62" s="25" t="s">
        <v>49</v>
      </c>
      <c r="F62" s="26">
        <v>5.2766203703703697E-2</v>
      </c>
      <c r="G62" s="26">
        <f t="shared" ref="G62" si="30">F60+F61+F62</f>
        <v>0.15690972222222221</v>
      </c>
      <c r="H62" s="25"/>
      <c r="I62" s="25"/>
      <c r="J62" s="27"/>
    </row>
    <row r="63" spans="1:10" ht="13.8" thickBot="1" x14ac:dyDescent="0.3">
      <c r="A63" s="28"/>
      <c r="B63" s="29"/>
      <c r="C63" s="29" t="s">
        <v>204</v>
      </c>
      <c r="D63" s="30">
        <v>418</v>
      </c>
      <c r="E63" s="30" t="s">
        <v>49</v>
      </c>
      <c r="F63" s="31">
        <v>5.3842592592592588E-2</v>
      </c>
      <c r="G63" s="31">
        <f t="shared" ref="G63" si="31">F60+F61+F62+F63</f>
        <v>0.2107523148148148</v>
      </c>
      <c r="H63" s="30">
        <v>9</v>
      </c>
      <c r="I63" s="30">
        <v>9</v>
      </c>
      <c r="J63" s="32"/>
    </row>
    <row r="64" spans="1:10" x14ac:dyDescent="0.25">
      <c r="A64" s="3"/>
      <c r="C64"/>
    </row>
    <row r="65" spans="1:3" x14ac:dyDescent="0.25">
      <c r="A65" s="3"/>
      <c r="B65" s="1" t="s">
        <v>132</v>
      </c>
      <c r="C65" s="1"/>
    </row>
    <row r="66" spans="1:3" x14ac:dyDescent="0.25">
      <c r="A66" s="3"/>
      <c r="B66" s="1" t="s">
        <v>328</v>
      </c>
      <c r="C66" s="1"/>
    </row>
    <row r="67" spans="1:3" x14ac:dyDescent="0.25">
      <c r="A67" s="3"/>
      <c r="B67" s="1" t="s">
        <v>329</v>
      </c>
      <c r="C67" s="1"/>
    </row>
    <row r="68" spans="1:3" x14ac:dyDescent="0.25">
      <c r="A68" s="3"/>
      <c r="B68" s="1" t="s">
        <v>334</v>
      </c>
      <c r="C68" s="1"/>
    </row>
    <row r="69" spans="1:3" x14ac:dyDescent="0.25">
      <c r="A69" s="3"/>
      <c r="B69" s="1"/>
      <c r="C69" s="1"/>
    </row>
    <row r="70" spans="1:3" x14ac:dyDescent="0.25">
      <c r="A70" s="3"/>
      <c r="B70" s="1"/>
      <c r="C70" s="1"/>
    </row>
    <row r="71" spans="1:3" x14ac:dyDescent="0.25">
      <c r="A71" s="3"/>
      <c r="B71" s="2" t="s">
        <v>30</v>
      </c>
      <c r="C71" s="2" t="s">
        <v>32</v>
      </c>
    </row>
    <row r="72" spans="1:3" x14ac:dyDescent="0.25">
      <c r="A72" s="3"/>
      <c r="B72" s="2" t="s">
        <v>31</v>
      </c>
      <c r="C72" s="2" t="s">
        <v>33</v>
      </c>
    </row>
    <row r="73" spans="1:3" x14ac:dyDescent="0.25">
      <c r="A73" s="3"/>
      <c r="C73"/>
    </row>
    <row r="74" spans="1:3" x14ac:dyDescent="0.25">
      <c r="A74" s="3"/>
      <c r="C74"/>
    </row>
    <row r="75" spans="1:3" x14ac:dyDescent="0.25">
      <c r="A75" s="3"/>
    </row>
    <row r="76" spans="1:3" x14ac:dyDescent="0.25">
      <c r="A76" s="3"/>
    </row>
    <row r="77" spans="1:3" x14ac:dyDescent="0.25">
      <c r="A77" s="3"/>
    </row>
    <row r="78" spans="1:3" x14ac:dyDescent="0.25">
      <c r="A78" s="3"/>
    </row>
    <row r="79" spans="1:3" x14ac:dyDescent="0.25">
      <c r="A79" s="3"/>
    </row>
    <row r="80" spans="1:3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/>
  <dimension ref="A1:J80"/>
  <sheetViews>
    <sheetView topLeftCell="A16" workbookViewId="0">
      <selection activeCell="C12" sqref="C12"/>
    </sheetView>
  </sheetViews>
  <sheetFormatPr defaultRowHeight="13.2" x14ac:dyDescent="0.25"/>
  <cols>
    <col min="1" max="1" width="7.6640625" style="2" customWidth="1"/>
    <col min="2" max="2" width="25.6640625" style="2" customWidth="1"/>
    <col min="3" max="3" width="22" style="2" customWidth="1"/>
    <col min="4" max="4" width="11.88671875" style="3" customWidth="1"/>
    <col min="5" max="5" width="9.44140625" style="3" customWidth="1"/>
    <col min="6" max="6" width="14.6640625" style="3" customWidth="1"/>
    <col min="7" max="7" width="13.21875" style="3" customWidth="1"/>
    <col min="8" max="9" width="7.33203125" style="3" customWidth="1"/>
    <col min="10" max="10" width="15.5546875" style="3" customWidth="1"/>
    <col min="11" max="16384" width="8.88671875" style="2"/>
  </cols>
  <sheetData>
    <row r="1" spans="1:2" x14ac:dyDescent="0.25">
      <c r="A1" s="2" t="s">
        <v>13</v>
      </c>
      <c r="B1" s="1"/>
    </row>
    <row r="2" spans="1:2" x14ac:dyDescent="0.25">
      <c r="A2" s="2" t="s">
        <v>14</v>
      </c>
      <c r="B2" s="1"/>
    </row>
    <row r="3" spans="1:2" x14ac:dyDescent="0.25">
      <c r="A3" s="1"/>
      <c r="B3" s="1"/>
    </row>
    <row r="4" spans="1:2" x14ac:dyDescent="0.25">
      <c r="A4" s="1" t="s">
        <v>44</v>
      </c>
      <c r="B4" s="1"/>
    </row>
    <row r="5" spans="1:2" x14ac:dyDescent="0.25">
      <c r="A5" s="1" t="s">
        <v>319</v>
      </c>
      <c r="B5" s="1"/>
    </row>
    <row r="6" spans="1:2" x14ac:dyDescent="0.25">
      <c r="A6" s="1"/>
      <c r="B6" s="1"/>
    </row>
    <row r="7" spans="1:2" x14ac:dyDescent="0.25">
      <c r="A7" s="1" t="s">
        <v>338</v>
      </c>
      <c r="B7" s="1"/>
    </row>
    <row r="8" spans="1:2" x14ac:dyDescent="0.25">
      <c r="A8" s="1" t="s">
        <v>339</v>
      </c>
      <c r="B8" s="1"/>
    </row>
    <row r="9" spans="1:2" x14ac:dyDescent="0.25">
      <c r="A9" s="1" t="s">
        <v>322</v>
      </c>
      <c r="B9" s="1"/>
    </row>
    <row r="10" spans="1:2" x14ac:dyDescent="0.25">
      <c r="A10" s="1"/>
      <c r="B10" s="1"/>
    </row>
    <row r="11" spans="1:2" x14ac:dyDescent="0.25">
      <c r="A11" s="1" t="s">
        <v>340</v>
      </c>
      <c r="B11" s="1"/>
    </row>
    <row r="12" spans="1:2" x14ac:dyDescent="0.25">
      <c r="A12" s="1"/>
      <c r="B12" s="1"/>
    </row>
    <row r="13" spans="1:2" x14ac:dyDescent="0.25">
      <c r="A13" s="2" t="s">
        <v>324</v>
      </c>
      <c r="B13" s="1"/>
    </row>
    <row r="14" spans="1:2" x14ac:dyDescent="0.25">
      <c r="A14" s="2" t="s">
        <v>16</v>
      </c>
      <c r="B14" s="1"/>
    </row>
    <row r="15" spans="1:2" x14ac:dyDescent="0.25">
      <c r="A15" s="1"/>
      <c r="B15" s="1"/>
    </row>
    <row r="16" spans="1:2" x14ac:dyDescent="0.25">
      <c r="A16" s="1" t="s">
        <v>298</v>
      </c>
      <c r="B16" s="1"/>
    </row>
    <row r="18" spans="1:10" ht="13.8" thickBot="1" x14ac:dyDescent="0.3"/>
    <row r="19" spans="1:10" ht="27" thickBot="1" x14ac:dyDescent="0.3">
      <c r="A19" s="33" t="s">
        <v>17</v>
      </c>
      <c r="B19" s="34" t="s">
        <v>1</v>
      </c>
      <c r="C19" s="34" t="s">
        <v>309</v>
      </c>
      <c r="D19" s="34" t="s">
        <v>81</v>
      </c>
      <c r="E19" s="34" t="s">
        <v>310</v>
      </c>
      <c r="F19" s="34" t="s">
        <v>311</v>
      </c>
      <c r="G19" s="34" t="s">
        <v>312</v>
      </c>
      <c r="H19" s="34" t="s">
        <v>22</v>
      </c>
      <c r="I19" s="34" t="s">
        <v>39</v>
      </c>
      <c r="J19" s="35" t="s">
        <v>313</v>
      </c>
    </row>
    <row r="20" spans="1:10" x14ac:dyDescent="0.25">
      <c r="A20" s="19">
        <v>1</v>
      </c>
      <c r="B20" s="20" t="s">
        <v>28</v>
      </c>
      <c r="C20" s="36" t="s">
        <v>305</v>
      </c>
      <c r="D20" s="21">
        <v>139</v>
      </c>
      <c r="E20" s="21" t="s">
        <v>84</v>
      </c>
      <c r="F20" s="22">
        <v>3.0162037037037032E-2</v>
      </c>
      <c r="G20" s="22">
        <f>F20</f>
        <v>3.0162037037037032E-2</v>
      </c>
      <c r="H20" s="21"/>
      <c r="I20" s="21"/>
      <c r="J20" s="23" t="s">
        <v>84</v>
      </c>
    </row>
    <row r="21" spans="1:10" x14ac:dyDescent="0.25">
      <c r="A21" s="24"/>
      <c r="B21" s="15"/>
      <c r="C21" s="37" t="s">
        <v>290</v>
      </c>
      <c r="D21" s="25">
        <v>239</v>
      </c>
      <c r="E21" s="25" t="s">
        <v>84</v>
      </c>
      <c r="F21" s="26">
        <v>3.6377314814814814E-2</v>
      </c>
      <c r="G21" s="26">
        <f>F20+F21</f>
        <v>6.653935185185185E-2</v>
      </c>
      <c r="H21" s="25">
        <v>1</v>
      </c>
      <c r="I21" s="38">
        <v>0.5</v>
      </c>
      <c r="J21" s="27" t="s">
        <v>84</v>
      </c>
    </row>
    <row r="22" spans="1:10" x14ac:dyDescent="0.25">
      <c r="A22" s="24"/>
      <c r="B22" s="15"/>
      <c r="C22" s="15"/>
      <c r="D22" s="25"/>
      <c r="E22" s="25"/>
      <c r="F22" s="25"/>
      <c r="G22" s="25"/>
      <c r="H22" s="25"/>
      <c r="I22" s="38"/>
      <c r="J22" s="27"/>
    </row>
    <row r="23" spans="1:10" x14ac:dyDescent="0.25">
      <c r="A23" s="24">
        <v>2</v>
      </c>
      <c r="B23" s="15" t="s">
        <v>27</v>
      </c>
      <c r="C23" s="37" t="s">
        <v>306</v>
      </c>
      <c r="D23" s="25">
        <v>137</v>
      </c>
      <c r="E23" s="25" t="s">
        <v>84</v>
      </c>
      <c r="F23" s="26">
        <v>3.0590277777777775E-2</v>
      </c>
      <c r="G23" s="26">
        <f t="shared" ref="G23" si="0">F23</f>
        <v>3.0590277777777775E-2</v>
      </c>
      <c r="H23" s="25"/>
      <c r="I23" s="38"/>
      <c r="J23" s="27" t="s">
        <v>84</v>
      </c>
    </row>
    <row r="24" spans="1:10" x14ac:dyDescent="0.25">
      <c r="A24" s="24"/>
      <c r="B24" s="15"/>
      <c r="C24" s="37" t="s">
        <v>281</v>
      </c>
      <c r="D24" s="25">
        <v>237</v>
      </c>
      <c r="E24" s="25" t="s">
        <v>84</v>
      </c>
      <c r="F24" s="26">
        <v>3.650462962962963E-2</v>
      </c>
      <c r="G24" s="26">
        <f t="shared" ref="G24" si="1">F23+F24</f>
        <v>6.7094907407407409E-2</v>
      </c>
      <c r="H24" s="25">
        <v>2</v>
      </c>
      <c r="I24" s="38">
        <v>1</v>
      </c>
      <c r="J24" s="27" t="s">
        <v>84</v>
      </c>
    </row>
    <row r="25" spans="1:10" x14ac:dyDescent="0.25">
      <c r="A25" s="24"/>
      <c r="B25" s="15"/>
      <c r="C25" s="15"/>
      <c r="D25" s="25"/>
      <c r="E25" s="25"/>
      <c r="F25" s="25"/>
      <c r="G25" s="25"/>
      <c r="H25" s="25"/>
      <c r="I25" s="38"/>
      <c r="J25" s="27"/>
    </row>
    <row r="26" spans="1:10" x14ac:dyDescent="0.25">
      <c r="A26" s="24">
        <v>3</v>
      </c>
      <c r="B26" s="37" t="s">
        <v>11</v>
      </c>
      <c r="C26" s="37" t="s">
        <v>302</v>
      </c>
      <c r="D26" s="25">
        <v>135</v>
      </c>
      <c r="E26" s="25" t="s">
        <v>84</v>
      </c>
      <c r="F26" s="26">
        <v>3.6863425925925931E-2</v>
      </c>
      <c r="G26" s="26">
        <f t="shared" ref="G26" si="2">F26</f>
        <v>3.6863425925925931E-2</v>
      </c>
      <c r="H26" s="25"/>
      <c r="I26" s="38"/>
      <c r="J26" s="27" t="s">
        <v>84</v>
      </c>
    </row>
    <row r="27" spans="1:10" x14ac:dyDescent="0.25">
      <c r="A27" s="24"/>
      <c r="B27" s="15"/>
      <c r="C27" s="37" t="s">
        <v>304</v>
      </c>
      <c r="D27" s="25">
        <v>235</v>
      </c>
      <c r="E27" s="25" t="s">
        <v>84</v>
      </c>
      <c r="F27" s="26">
        <v>3.0706018518518521E-2</v>
      </c>
      <c r="G27" s="26">
        <f t="shared" ref="G27" si="3">F26+F27</f>
        <v>6.756944444444446E-2</v>
      </c>
      <c r="H27" s="25">
        <v>3</v>
      </c>
      <c r="I27" s="38">
        <v>1.5</v>
      </c>
      <c r="J27" s="27" t="s">
        <v>84</v>
      </c>
    </row>
    <row r="28" spans="1:10" x14ac:dyDescent="0.25">
      <c r="A28" s="24"/>
      <c r="B28" s="15"/>
      <c r="C28" s="15"/>
      <c r="D28" s="25"/>
      <c r="E28" s="25"/>
      <c r="F28" s="25"/>
      <c r="G28" s="25"/>
      <c r="H28" s="25"/>
      <c r="I28" s="38"/>
      <c r="J28" s="27"/>
    </row>
    <row r="29" spans="1:10" x14ac:dyDescent="0.25">
      <c r="A29" s="24">
        <v>4</v>
      </c>
      <c r="B29" s="15" t="s">
        <v>9</v>
      </c>
      <c r="C29" s="37" t="s">
        <v>277</v>
      </c>
      <c r="D29" s="25">
        <v>132</v>
      </c>
      <c r="E29" s="25" t="s">
        <v>84</v>
      </c>
      <c r="F29" s="26">
        <v>3.6261574074074078E-2</v>
      </c>
      <c r="G29" s="26">
        <f t="shared" ref="G29" si="4">F29</f>
        <v>3.6261574074074078E-2</v>
      </c>
      <c r="H29" s="25"/>
      <c r="I29" s="38"/>
      <c r="J29" s="27"/>
    </row>
    <row r="30" spans="1:10" x14ac:dyDescent="0.25">
      <c r="A30" s="24"/>
      <c r="B30" s="15"/>
      <c r="C30" s="37" t="s">
        <v>300</v>
      </c>
      <c r="D30" s="25">
        <v>232</v>
      </c>
      <c r="E30" s="25" t="s">
        <v>84</v>
      </c>
      <c r="F30" s="26">
        <v>3.6921296296296292E-2</v>
      </c>
      <c r="G30" s="26">
        <f t="shared" ref="G30" si="5">F29+F30</f>
        <v>7.318287037037037E-2</v>
      </c>
      <c r="H30" s="25">
        <v>4</v>
      </c>
      <c r="I30" s="38">
        <v>2</v>
      </c>
      <c r="J30" s="27"/>
    </row>
    <row r="31" spans="1:10" x14ac:dyDescent="0.25">
      <c r="A31" s="24"/>
      <c r="B31" s="15"/>
      <c r="C31" s="15"/>
      <c r="D31" s="25"/>
      <c r="E31" s="25"/>
      <c r="F31" s="25"/>
      <c r="G31" s="25"/>
      <c r="H31" s="25"/>
      <c r="I31" s="38"/>
      <c r="J31" s="27"/>
    </row>
    <row r="32" spans="1:10" x14ac:dyDescent="0.25">
      <c r="A32" s="24">
        <v>5</v>
      </c>
      <c r="B32" s="15" t="s">
        <v>26</v>
      </c>
      <c r="C32" s="37" t="s">
        <v>279</v>
      </c>
      <c r="D32" s="25">
        <v>136</v>
      </c>
      <c r="E32" s="25" t="s">
        <v>84</v>
      </c>
      <c r="F32" s="26">
        <v>3.7893518518518521E-2</v>
      </c>
      <c r="G32" s="26">
        <f t="shared" ref="G32" si="6">F32</f>
        <v>3.7893518518518521E-2</v>
      </c>
      <c r="H32" s="25"/>
      <c r="I32" s="38"/>
      <c r="J32" s="27"/>
    </row>
    <row r="33" spans="1:10" x14ac:dyDescent="0.25">
      <c r="A33" s="24"/>
      <c r="B33" s="15"/>
      <c r="C33" s="37" t="s">
        <v>292</v>
      </c>
      <c r="D33" s="25">
        <v>236</v>
      </c>
      <c r="E33" s="25" t="s">
        <v>84</v>
      </c>
      <c r="F33" s="26">
        <v>3.7696759259259256E-2</v>
      </c>
      <c r="G33" s="26">
        <f t="shared" ref="G33" si="7">F32+F33</f>
        <v>7.559027777777777E-2</v>
      </c>
      <c r="H33" s="25">
        <v>5</v>
      </c>
      <c r="I33" s="38">
        <v>2.5</v>
      </c>
      <c r="J33" s="27"/>
    </row>
    <row r="34" spans="1:10" x14ac:dyDescent="0.25">
      <c r="A34" s="24"/>
      <c r="B34" s="15"/>
      <c r="C34" s="15"/>
      <c r="D34" s="25"/>
      <c r="E34" s="25"/>
      <c r="F34" s="25"/>
      <c r="G34" s="25"/>
      <c r="H34" s="25"/>
      <c r="I34" s="38"/>
      <c r="J34" s="27"/>
    </row>
    <row r="35" spans="1:10" x14ac:dyDescent="0.25">
      <c r="A35" s="24">
        <v>6</v>
      </c>
      <c r="B35" s="15" t="s">
        <v>12</v>
      </c>
      <c r="C35" s="37" t="s">
        <v>265</v>
      </c>
      <c r="D35" s="25">
        <v>133</v>
      </c>
      <c r="E35" s="25" t="s">
        <v>84</v>
      </c>
      <c r="F35" s="26">
        <v>3.1446759259259258E-2</v>
      </c>
      <c r="G35" s="26">
        <f t="shared" ref="G35" si="8">F35</f>
        <v>3.1446759259259258E-2</v>
      </c>
      <c r="H35" s="25"/>
      <c r="I35" s="38"/>
      <c r="J35" s="27"/>
    </row>
    <row r="36" spans="1:10" x14ac:dyDescent="0.25">
      <c r="A36" s="24"/>
      <c r="B36" s="15"/>
      <c r="C36" s="37" t="s">
        <v>301</v>
      </c>
      <c r="D36" s="25">
        <v>233</v>
      </c>
      <c r="E36" s="25" t="s">
        <v>84</v>
      </c>
      <c r="F36" s="26">
        <v>5.393518518518519E-2</v>
      </c>
      <c r="G36" s="26">
        <f t="shared" ref="G36" si="9">F35+F36</f>
        <v>8.5381944444444441E-2</v>
      </c>
      <c r="H36" s="25">
        <v>6</v>
      </c>
      <c r="I36" s="38">
        <v>3</v>
      </c>
      <c r="J36" s="27"/>
    </row>
    <row r="37" spans="1:10" x14ac:dyDescent="0.25">
      <c r="A37" s="24"/>
      <c r="B37" s="15"/>
      <c r="C37" s="15"/>
      <c r="D37" s="25"/>
      <c r="E37" s="25"/>
      <c r="F37" s="25"/>
      <c r="G37" s="25"/>
      <c r="H37" s="25"/>
      <c r="I37" s="38"/>
      <c r="J37" s="27"/>
    </row>
    <row r="38" spans="1:10" x14ac:dyDescent="0.25">
      <c r="A38" s="24">
        <v>7</v>
      </c>
      <c r="B38" s="37" t="s">
        <v>7</v>
      </c>
      <c r="C38" s="37" t="s">
        <v>271</v>
      </c>
      <c r="D38" s="25">
        <v>134</v>
      </c>
      <c r="E38" s="25" t="s">
        <v>84</v>
      </c>
      <c r="F38" s="26">
        <v>6.3344907407407405E-2</v>
      </c>
      <c r="G38" s="26">
        <f t="shared" ref="G38" si="10">F38</f>
        <v>6.3344907407407405E-2</v>
      </c>
      <c r="H38" s="25"/>
      <c r="I38" s="38"/>
      <c r="J38" s="27"/>
    </row>
    <row r="39" spans="1:10" x14ac:dyDescent="0.25">
      <c r="A39" s="24"/>
      <c r="B39" s="15"/>
      <c r="C39" s="37" t="s">
        <v>269</v>
      </c>
      <c r="D39" s="25">
        <v>234</v>
      </c>
      <c r="E39" s="25" t="s">
        <v>84</v>
      </c>
      <c r="F39" s="26">
        <v>4.3969907407407409E-2</v>
      </c>
      <c r="G39" s="26">
        <f t="shared" ref="G39" si="11">F38+F39</f>
        <v>0.10731481481481481</v>
      </c>
      <c r="H39" s="25">
        <v>7</v>
      </c>
      <c r="I39" s="38">
        <v>3.5</v>
      </c>
      <c r="J39" s="27"/>
    </row>
    <row r="40" spans="1:10" x14ac:dyDescent="0.25">
      <c r="A40" s="24"/>
      <c r="B40" s="15"/>
      <c r="C40" s="15"/>
      <c r="D40" s="25"/>
      <c r="E40" s="25"/>
      <c r="F40" s="25"/>
      <c r="G40" s="25"/>
      <c r="H40" s="25"/>
      <c r="I40" s="38"/>
      <c r="J40" s="27"/>
    </row>
    <row r="41" spans="1:10" x14ac:dyDescent="0.25">
      <c r="A41" s="24">
        <v>8</v>
      </c>
      <c r="B41" s="15" t="s">
        <v>29</v>
      </c>
      <c r="C41" s="37" t="s">
        <v>303</v>
      </c>
      <c r="D41" s="25">
        <v>138</v>
      </c>
      <c r="E41" s="25" t="s">
        <v>6</v>
      </c>
      <c r="F41" s="26">
        <v>5.9537037037037034E-2</v>
      </c>
      <c r="G41" s="26">
        <f t="shared" ref="G41" si="12">F41</f>
        <v>5.9537037037037034E-2</v>
      </c>
      <c r="H41" s="25"/>
      <c r="I41" s="38"/>
      <c r="J41" s="27"/>
    </row>
    <row r="42" spans="1:10" x14ac:dyDescent="0.25">
      <c r="A42" s="24"/>
      <c r="B42" s="15"/>
      <c r="C42" s="37" t="s">
        <v>294</v>
      </c>
      <c r="D42" s="25">
        <v>238</v>
      </c>
      <c r="E42" s="25" t="s">
        <v>6</v>
      </c>
      <c r="F42" s="26">
        <v>5.5960648148148141E-2</v>
      </c>
      <c r="G42" s="26">
        <f t="shared" ref="G42" si="13">F41+F42</f>
        <v>0.11549768518518518</v>
      </c>
      <c r="H42" s="25">
        <v>8</v>
      </c>
      <c r="I42" s="38">
        <v>4</v>
      </c>
      <c r="J42" s="27"/>
    </row>
    <row r="43" spans="1:10" x14ac:dyDescent="0.25">
      <c r="A43" s="24"/>
      <c r="B43" s="15"/>
      <c r="C43" s="15"/>
      <c r="D43" s="25"/>
      <c r="E43" s="25"/>
      <c r="F43" s="25"/>
      <c r="G43" s="25"/>
      <c r="H43" s="25"/>
      <c r="I43" s="38"/>
      <c r="J43" s="27"/>
    </row>
    <row r="44" spans="1:10" x14ac:dyDescent="0.25">
      <c r="A44" s="24">
        <v>9</v>
      </c>
      <c r="B44" s="37" t="s">
        <v>10</v>
      </c>
      <c r="C44" s="37" t="s">
        <v>285</v>
      </c>
      <c r="D44" s="25">
        <v>131</v>
      </c>
      <c r="E44" s="25" t="s">
        <v>84</v>
      </c>
      <c r="F44" s="26" t="s">
        <v>327</v>
      </c>
      <c r="G44" s="26"/>
      <c r="H44" s="25"/>
      <c r="I44" s="25"/>
      <c r="J44" s="27"/>
    </row>
    <row r="45" spans="1:10" ht="13.8" thickBot="1" x14ac:dyDescent="0.3">
      <c r="A45" s="28"/>
      <c r="B45" s="29"/>
      <c r="C45" s="39" t="s">
        <v>299</v>
      </c>
      <c r="D45" s="30">
        <v>231</v>
      </c>
      <c r="E45" s="30" t="s">
        <v>84</v>
      </c>
      <c r="F45" s="31" t="s">
        <v>335</v>
      </c>
      <c r="G45" s="31"/>
      <c r="H45" s="30"/>
      <c r="I45" s="30"/>
      <c r="J45" s="32"/>
    </row>
    <row r="46" spans="1:10" x14ac:dyDescent="0.25">
      <c r="A46" s="3"/>
      <c r="C46"/>
    </row>
    <row r="47" spans="1:10" s="3" customFormat="1" x14ac:dyDescent="0.25">
      <c r="B47" s="1" t="s">
        <v>132</v>
      </c>
      <c r="C47" s="1"/>
    </row>
    <row r="48" spans="1:10" s="3" customFormat="1" x14ac:dyDescent="0.25">
      <c r="B48" s="1" t="s">
        <v>336</v>
      </c>
      <c r="C48" s="1"/>
    </row>
    <row r="49" spans="1:6" s="3" customFormat="1" x14ac:dyDescent="0.25">
      <c r="B49" s="1" t="s">
        <v>337</v>
      </c>
      <c r="C49" s="1"/>
      <c r="F49"/>
    </row>
    <row r="50" spans="1:6" s="3" customFormat="1" x14ac:dyDescent="0.25">
      <c r="B50" s="1"/>
      <c r="C50" s="1"/>
      <c r="F50"/>
    </row>
    <row r="51" spans="1:6" s="3" customFormat="1" x14ac:dyDescent="0.25">
      <c r="B51" s="1"/>
      <c r="C51" s="1"/>
      <c r="F51"/>
    </row>
    <row r="52" spans="1:6" s="3" customFormat="1" x14ac:dyDescent="0.25">
      <c r="B52" s="2" t="s">
        <v>30</v>
      </c>
      <c r="C52" s="2" t="s">
        <v>32</v>
      </c>
      <c r="E52"/>
      <c r="F52"/>
    </row>
    <row r="53" spans="1:6" s="3" customFormat="1" x14ac:dyDescent="0.25">
      <c r="B53" s="2" t="s">
        <v>31</v>
      </c>
      <c r="C53" s="2" t="s">
        <v>33</v>
      </c>
      <c r="E53"/>
      <c r="F53"/>
    </row>
    <row r="54" spans="1:6" s="3" customFormat="1" x14ac:dyDescent="0.25">
      <c r="B54" s="2"/>
      <c r="C54"/>
      <c r="F54"/>
    </row>
    <row r="55" spans="1:6" s="3" customFormat="1" x14ac:dyDescent="0.25">
      <c r="B55" s="2"/>
      <c r="C55"/>
      <c r="F55"/>
    </row>
    <row r="56" spans="1:6" s="3" customFormat="1" x14ac:dyDescent="0.25">
      <c r="B56" s="2"/>
      <c r="C56" s="2"/>
      <c r="F56"/>
    </row>
    <row r="57" spans="1:6" s="3" customFormat="1" x14ac:dyDescent="0.25">
      <c r="B57" s="2"/>
      <c r="C57" s="2"/>
      <c r="F57"/>
    </row>
    <row r="58" spans="1:6" s="3" customFormat="1" x14ac:dyDescent="0.25">
      <c r="B58" s="2"/>
      <c r="C58" s="2"/>
      <c r="F58"/>
    </row>
    <row r="59" spans="1:6" s="3" customFormat="1" x14ac:dyDescent="0.25">
      <c r="B59" s="2"/>
      <c r="C59" s="2"/>
      <c r="F59"/>
    </row>
    <row r="60" spans="1:6" s="3" customFormat="1" x14ac:dyDescent="0.25">
      <c r="B60" s="2"/>
      <c r="C60" s="2"/>
      <c r="E60"/>
      <c r="F60"/>
    </row>
    <row r="61" spans="1:6" s="3" customFormat="1" x14ac:dyDescent="0.25">
      <c r="B61" s="2"/>
      <c r="C61" s="2"/>
      <c r="F61"/>
    </row>
    <row r="62" spans="1:6" x14ac:dyDescent="0.25">
      <c r="A62" s="3"/>
      <c r="E62" s="2"/>
      <c r="F62"/>
    </row>
    <row r="63" spans="1:6" x14ac:dyDescent="0.25">
      <c r="A63" s="3"/>
      <c r="E63" s="2"/>
      <c r="F63"/>
    </row>
    <row r="64" spans="1:6" x14ac:dyDescent="0.25">
      <c r="A64" s="3"/>
      <c r="E64" s="2"/>
      <c r="F64"/>
    </row>
    <row r="65" spans="1:6" x14ac:dyDescent="0.25">
      <c r="A65" s="3"/>
      <c r="E65" s="2"/>
      <c r="F65"/>
    </row>
    <row r="66" spans="1:6" x14ac:dyDescent="0.25">
      <c r="A66" s="3"/>
      <c r="E66" s="2"/>
      <c r="F66"/>
    </row>
    <row r="67" spans="1:6" x14ac:dyDescent="0.25">
      <c r="A67" s="3"/>
      <c r="E67" s="2"/>
      <c r="F67"/>
    </row>
    <row r="68" spans="1:6" x14ac:dyDescent="0.25">
      <c r="A68" s="3"/>
      <c r="E68" s="2"/>
      <c r="F68"/>
    </row>
    <row r="69" spans="1:6" x14ac:dyDescent="0.25">
      <c r="A69" s="3"/>
    </row>
    <row r="70" spans="1:6" x14ac:dyDescent="0.25">
      <c r="A70" s="3"/>
    </row>
    <row r="71" spans="1:6" x14ac:dyDescent="0.25">
      <c r="A71" s="3"/>
    </row>
    <row r="72" spans="1:6" x14ac:dyDescent="0.25">
      <c r="A72" s="3"/>
    </row>
    <row r="73" spans="1:6" x14ac:dyDescent="0.25">
      <c r="A73" s="3"/>
    </row>
    <row r="74" spans="1:6" x14ac:dyDescent="0.25">
      <c r="A74" s="3"/>
    </row>
    <row r="75" spans="1:6" x14ac:dyDescent="0.25">
      <c r="A75" s="3"/>
    </row>
    <row r="76" spans="1:6" x14ac:dyDescent="0.25">
      <c r="A76" s="3"/>
    </row>
    <row r="77" spans="1:6" x14ac:dyDescent="0.25">
      <c r="A77" s="3"/>
    </row>
    <row r="78" spans="1:6" x14ac:dyDescent="0.25">
      <c r="A78" s="3"/>
    </row>
    <row r="79" spans="1:6" x14ac:dyDescent="0.25">
      <c r="A79" s="3"/>
    </row>
    <row r="80" spans="1:6" x14ac:dyDescent="0.25">
      <c r="A80" s="3"/>
    </row>
  </sheetData>
  <sortState ref="E67:F87">
    <sortCondition ref="F80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/>
  <dimension ref="A1:J80"/>
  <sheetViews>
    <sheetView topLeftCell="A11" workbookViewId="0">
      <selection activeCell="B52" sqref="B52:C53"/>
    </sheetView>
  </sheetViews>
  <sheetFormatPr defaultRowHeight="13.2" x14ac:dyDescent="0.25"/>
  <cols>
    <col min="1" max="1" width="7.6640625" style="2" customWidth="1"/>
    <col min="2" max="2" width="25.6640625" style="2" customWidth="1"/>
    <col min="3" max="3" width="22" style="2" customWidth="1"/>
    <col min="4" max="4" width="11.88671875" style="3" customWidth="1"/>
    <col min="5" max="5" width="9.44140625" style="3" customWidth="1"/>
    <col min="6" max="6" width="14.6640625" style="3" customWidth="1"/>
    <col min="7" max="7" width="13.21875" style="3" customWidth="1"/>
    <col min="8" max="9" width="7.33203125" style="3" customWidth="1"/>
    <col min="10" max="10" width="15.5546875" style="3" customWidth="1"/>
    <col min="11" max="16384" width="8.88671875" style="2"/>
  </cols>
  <sheetData>
    <row r="1" spans="1:2" x14ac:dyDescent="0.25">
      <c r="A1" s="2" t="s">
        <v>13</v>
      </c>
      <c r="B1" s="1"/>
    </row>
    <row r="2" spans="1:2" x14ac:dyDescent="0.25">
      <c r="A2" s="2" t="s">
        <v>14</v>
      </c>
      <c r="B2" s="1"/>
    </row>
    <row r="3" spans="1:2" x14ac:dyDescent="0.25">
      <c r="A3" s="1"/>
      <c r="B3" s="1"/>
    </row>
    <row r="4" spans="1:2" x14ac:dyDescent="0.25">
      <c r="A4" s="1" t="s">
        <v>44</v>
      </c>
      <c r="B4" s="1"/>
    </row>
    <row r="5" spans="1:2" x14ac:dyDescent="0.25">
      <c r="A5" s="1" t="s">
        <v>319</v>
      </c>
      <c r="B5" s="1"/>
    </row>
    <row r="6" spans="1:2" x14ac:dyDescent="0.25">
      <c r="A6" s="1"/>
      <c r="B6" s="1"/>
    </row>
    <row r="7" spans="1:2" x14ac:dyDescent="0.25">
      <c r="A7" s="1" t="s">
        <v>342</v>
      </c>
      <c r="B7" s="1"/>
    </row>
    <row r="8" spans="1:2" x14ac:dyDescent="0.25">
      <c r="A8" s="1" t="s">
        <v>343</v>
      </c>
      <c r="B8" s="1"/>
    </row>
    <row r="9" spans="1:2" x14ac:dyDescent="0.25">
      <c r="A9" s="1" t="s">
        <v>322</v>
      </c>
      <c r="B9" s="1"/>
    </row>
    <row r="10" spans="1:2" x14ac:dyDescent="0.25">
      <c r="A10" s="1"/>
      <c r="B10" s="1"/>
    </row>
    <row r="11" spans="1:2" x14ac:dyDescent="0.25">
      <c r="A11" s="1" t="s">
        <v>344</v>
      </c>
      <c r="B11" s="1"/>
    </row>
    <row r="12" spans="1:2" x14ac:dyDescent="0.25">
      <c r="A12" s="1"/>
      <c r="B12" s="1"/>
    </row>
    <row r="13" spans="1:2" x14ac:dyDescent="0.25">
      <c r="A13" s="2" t="s">
        <v>324</v>
      </c>
      <c r="B13" s="1"/>
    </row>
    <row r="14" spans="1:2" x14ac:dyDescent="0.25">
      <c r="A14" s="2" t="s">
        <v>16</v>
      </c>
      <c r="B14" s="1"/>
    </row>
    <row r="15" spans="1:2" x14ac:dyDescent="0.25">
      <c r="A15" s="1"/>
      <c r="B15" s="1"/>
    </row>
    <row r="16" spans="1:2" x14ac:dyDescent="0.25">
      <c r="A16" s="1" t="s">
        <v>250</v>
      </c>
      <c r="B16" s="1"/>
    </row>
    <row r="18" spans="1:10" ht="13.8" thickBot="1" x14ac:dyDescent="0.3"/>
    <row r="19" spans="1:10" ht="27" thickBot="1" x14ac:dyDescent="0.3">
      <c r="A19" s="41" t="s">
        <v>17</v>
      </c>
      <c r="B19" s="42" t="s">
        <v>1</v>
      </c>
      <c r="C19" s="42" t="s">
        <v>309</v>
      </c>
      <c r="D19" s="42" t="s">
        <v>81</v>
      </c>
      <c r="E19" s="42" t="s">
        <v>310</v>
      </c>
      <c r="F19" s="42" t="s">
        <v>311</v>
      </c>
      <c r="G19" s="42" t="s">
        <v>312</v>
      </c>
      <c r="H19" s="42" t="s">
        <v>22</v>
      </c>
      <c r="I19" s="42" t="s">
        <v>39</v>
      </c>
      <c r="J19" s="43" t="s">
        <v>313</v>
      </c>
    </row>
    <row r="20" spans="1:10" x14ac:dyDescent="0.25">
      <c r="A20" s="19">
        <v>1</v>
      </c>
      <c r="B20" s="36" t="s">
        <v>7</v>
      </c>
      <c r="C20" s="45" t="s">
        <v>228</v>
      </c>
      <c r="D20" s="21">
        <v>125</v>
      </c>
      <c r="E20" s="21" t="s">
        <v>84</v>
      </c>
      <c r="F20" s="22">
        <v>3.5694444444444445E-2</v>
      </c>
      <c r="G20" s="22">
        <f>F20</f>
        <v>3.5694444444444445E-2</v>
      </c>
      <c r="H20" s="21"/>
      <c r="I20" s="21"/>
      <c r="J20" s="23" t="s">
        <v>84</v>
      </c>
    </row>
    <row r="21" spans="1:10" x14ac:dyDescent="0.25">
      <c r="A21" s="24"/>
      <c r="B21" s="15"/>
      <c r="C21" s="44" t="s">
        <v>255</v>
      </c>
      <c r="D21" s="25">
        <v>225</v>
      </c>
      <c r="E21" s="25" t="s">
        <v>84</v>
      </c>
      <c r="F21" s="26">
        <v>3.516203703703704E-2</v>
      </c>
      <c r="G21" s="26">
        <f>F20+F21</f>
        <v>7.0856481481481493E-2</v>
      </c>
      <c r="H21" s="25">
        <v>1</v>
      </c>
      <c r="I21" s="38">
        <v>0.5</v>
      </c>
      <c r="J21" s="27" t="s">
        <v>84</v>
      </c>
    </row>
    <row r="22" spans="1:10" x14ac:dyDescent="0.25">
      <c r="A22" s="24"/>
      <c r="B22" s="15"/>
      <c r="C22" s="15"/>
      <c r="D22" s="25"/>
      <c r="E22" s="25"/>
      <c r="F22" s="25"/>
      <c r="G22" s="25"/>
      <c r="H22" s="25"/>
      <c r="I22" s="38"/>
      <c r="J22" s="27"/>
    </row>
    <row r="23" spans="1:10" x14ac:dyDescent="0.25">
      <c r="A23" s="24">
        <v>2</v>
      </c>
      <c r="B23" s="37" t="s">
        <v>11</v>
      </c>
      <c r="C23" s="44" t="s">
        <v>257</v>
      </c>
      <c r="D23" s="25">
        <v>123</v>
      </c>
      <c r="E23" s="25" t="s">
        <v>84</v>
      </c>
      <c r="F23" s="26">
        <v>3.7013888888888888E-2</v>
      </c>
      <c r="G23" s="26">
        <f t="shared" ref="G23" si="0">F23</f>
        <v>3.7013888888888888E-2</v>
      </c>
      <c r="H23" s="25"/>
      <c r="I23" s="38"/>
      <c r="J23" s="27" t="s">
        <v>84</v>
      </c>
    </row>
    <row r="24" spans="1:10" x14ac:dyDescent="0.25">
      <c r="A24" s="24"/>
      <c r="B24" s="15"/>
      <c r="C24" s="44" t="s">
        <v>221</v>
      </c>
      <c r="D24" s="25">
        <v>223</v>
      </c>
      <c r="E24" s="25" t="s">
        <v>84</v>
      </c>
      <c r="F24" s="26">
        <v>3.4398148148148143E-2</v>
      </c>
      <c r="G24" s="26">
        <f t="shared" ref="G24" si="1">F23+F24</f>
        <v>7.1412037037037024E-2</v>
      </c>
      <c r="H24" s="25">
        <v>2</v>
      </c>
      <c r="I24" s="38">
        <v>1</v>
      </c>
      <c r="J24" s="27" t="s">
        <v>84</v>
      </c>
    </row>
    <row r="25" spans="1:10" x14ac:dyDescent="0.25">
      <c r="A25" s="24"/>
      <c r="B25" s="15"/>
      <c r="C25" s="15"/>
      <c r="D25" s="25"/>
      <c r="E25" s="25"/>
      <c r="F25" s="25"/>
      <c r="G25" s="25"/>
      <c r="H25" s="25"/>
      <c r="I25" s="38"/>
      <c r="J25" s="27"/>
    </row>
    <row r="26" spans="1:10" x14ac:dyDescent="0.25">
      <c r="A26" s="24">
        <v>3</v>
      </c>
      <c r="B26" s="15" t="s">
        <v>28</v>
      </c>
      <c r="C26" s="44" t="s">
        <v>224</v>
      </c>
      <c r="D26" s="25">
        <v>124</v>
      </c>
      <c r="E26" s="25" t="s">
        <v>84</v>
      </c>
      <c r="F26" s="26">
        <v>3.5937500000000004E-2</v>
      </c>
      <c r="G26" s="26">
        <f t="shared" ref="G26" si="2">F26</f>
        <v>3.5937500000000004E-2</v>
      </c>
      <c r="H26" s="25"/>
      <c r="I26" s="38"/>
      <c r="J26" s="27"/>
    </row>
    <row r="27" spans="1:10" x14ac:dyDescent="0.25">
      <c r="A27" s="24"/>
      <c r="B27" s="15"/>
      <c r="C27" s="44" t="s">
        <v>234</v>
      </c>
      <c r="D27" s="25">
        <v>224</v>
      </c>
      <c r="E27" s="25" t="s">
        <v>84</v>
      </c>
      <c r="F27" s="26">
        <v>3.7488425925925925E-2</v>
      </c>
      <c r="G27" s="26">
        <f t="shared" ref="G27" si="3">F26+F27</f>
        <v>7.3425925925925922E-2</v>
      </c>
      <c r="H27" s="25">
        <v>3</v>
      </c>
      <c r="I27" s="38">
        <v>1.5</v>
      </c>
      <c r="J27" s="27"/>
    </row>
    <row r="28" spans="1:10" x14ac:dyDescent="0.25">
      <c r="A28" s="24"/>
      <c r="B28" s="15"/>
      <c r="C28" s="15"/>
      <c r="D28" s="25"/>
      <c r="E28" s="25"/>
      <c r="F28" s="25"/>
      <c r="G28" s="25"/>
      <c r="H28" s="25"/>
      <c r="I28" s="38"/>
      <c r="J28" s="27"/>
    </row>
    <row r="29" spans="1:10" x14ac:dyDescent="0.25">
      <c r="A29" s="24">
        <v>4</v>
      </c>
      <c r="B29" s="15" t="s">
        <v>12</v>
      </c>
      <c r="C29" s="44" t="s">
        <v>261</v>
      </c>
      <c r="D29" s="25">
        <v>126</v>
      </c>
      <c r="E29" s="25" t="s">
        <v>84</v>
      </c>
      <c r="F29" s="26">
        <v>4.0949074074074075E-2</v>
      </c>
      <c r="G29" s="26">
        <f t="shared" ref="G29" si="4">F29</f>
        <v>4.0949074074074075E-2</v>
      </c>
      <c r="H29" s="25"/>
      <c r="I29" s="38"/>
      <c r="J29" s="27"/>
    </row>
    <row r="30" spans="1:10" x14ac:dyDescent="0.25">
      <c r="A30" s="24"/>
      <c r="B30" s="15"/>
      <c r="C30" s="44" t="s">
        <v>256</v>
      </c>
      <c r="D30" s="25">
        <v>226</v>
      </c>
      <c r="E30" s="25" t="s">
        <v>84</v>
      </c>
      <c r="F30" s="26">
        <v>3.3518518518518517E-2</v>
      </c>
      <c r="G30" s="26">
        <f t="shared" ref="G30" si="5">F29+F30</f>
        <v>7.4467592592592585E-2</v>
      </c>
      <c r="H30" s="25">
        <v>4</v>
      </c>
      <c r="I30" s="38">
        <v>2</v>
      </c>
      <c r="J30" s="27"/>
    </row>
    <row r="31" spans="1:10" x14ac:dyDescent="0.25">
      <c r="A31" s="24"/>
      <c r="B31" s="15"/>
      <c r="C31" s="15"/>
      <c r="D31" s="25"/>
      <c r="E31" s="25"/>
      <c r="F31" s="25"/>
      <c r="G31" s="25"/>
      <c r="H31" s="25"/>
      <c r="I31" s="38"/>
      <c r="J31" s="27"/>
    </row>
    <row r="32" spans="1:10" x14ac:dyDescent="0.25">
      <c r="A32" s="24">
        <v>5</v>
      </c>
      <c r="B32" s="15" t="s">
        <v>26</v>
      </c>
      <c r="C32" s="44" t="s">
        <v>243</v>
      </c>
      <c r="D32" s="25">
        <v>129</v>
      </c>
      <c r="E32" s="25" t="s">
        <v>84</v>
      </c>
      <c r="F32" s="26">
        <v>4.1064814814814811E-2</v>
      </c>
      <c r="G32" s="26">
        <f t="shared" ref="G32" si="6">F32</f>
        <v>4.1064814814814811E-2</v>
      </c>
      <c r="H32" s="25"/>
      <c r="I32" s="38"/>
      <c r="J32" s="27"/>
    </row>
    <row r="33" spans="1:10" x14ac:dyDescent="0.25">
      <c r="A33" s="24"/>
      <c r="B33" s="15"/>
      <c r="C33" s="44" t="s">
        <v>241</v>
      </c>
      <c r="D33" s="25">
        <v>229</v>
      </c>
      <c r="E33" s="25" t="s">
        <v>84</v>
      </c>
      <c r="F33" s="26">
        <v>3.4456018518518518E-2</v>
      </c>
      <c r="G33" s="26">
        <f t="shared" ref="G33" si="7">F32+F33</f>
        <v>7.5520833333333329E-2</v>
      </c>
      <c r="H33" s="25">
        <v>5</v>
      </c>
      <c r="I33" s="38">
        <v>2.5</v>
      </c>
      <c r="J33" s="27"/>
    </row>
    <row r="34" spans="1:10" x14ac:dyDescent="0.25">
      <c r="A34" s="24"/>
      <c r="B34" s="15"/>
      <c r="C34" s="15"/>
      <c r="D34" s="25"/>
      <c r="E34" s="25"/>
      <c r="F34" s="25"/>
      <c r="G34" s="25"/>
      <c r="H34" s="25"/>
      <c r="I34" s="38"/>
      <c r="J34" s="27"/>
    </row>
    <row r="35" spans="1:10" x14ac:dyDescent="0.25">
      <c r="A35" s="24">
        <v>6</v>
      </c>
      <c r="B35" s="15" t="s">
        <v>27</v>
      </c>
      <c r="C35" s="44" t="s">
        <v>254</v>
      </c>
      <c r="D35" s="25">
        <v>121</v>
      </c>
      <c r="E35" s="25" t="s">
        <v>84</v>
      </c>
      <c r="F35" s="26">
        <v>4.0879629629629634E-2</v>
      </c>
      <c r="G35" s="26">
        <f t="shared" ref="G35" si="8">F35</f>
        <v>4.0879629629629634E-2</v>
      </c>
      <c r="H35" s="25"/>
      <c r="I35" s="38"/>
      <c r="J35" s="27"/>
    </row>
    <row r="36" spans="1:10" x14ac:dyDescent="0.25">
      <c r="A36" s="24"/>
      <c r="B36" s="15"/>
      <c r="C36" s="44" t="s">
        <v>251</v>
      </c>
      <c r="D36" s="25">
        <v>221</v>
      </c>
      <c r="E36" s="25" t="s">
        <v>84</v>
      </c>
      <c r="F36" s="26">
        <v>3.9768518518518516E-2</v>
      </c>
      <c r="G36" s="26">
        <f t="shared" ref="G36" si="9">F35+F36</f>
        <v>8.0648148148148149E-2</v>
      </c>
      <c r="H36" s="25">
        <v>6</v>
      </c>
      <c r="I36" s="38">
        <v>3</v>
      </c>
      <c r="J36" s="27"/>
    </row>
    <row r="37" spans="1:10" x14ac:dyDescent="0.25">
      <c r="A37" s="24"/>
      <c r="B37" s="15"/>
      <c r="C37" s="15"/>
      <c r="D37" s="25"/>
      <c r="E37" s="25"/>
      <c r="F37" s="25"/>
      <c r="G37" s="25"/>
      <c r="H37" s="25"/>
      <c r="I37" s="38"/>
      <c r="J37" s="27"/>
    </row>
    <row r="38" spans="1:10" x14ac:dyDescent="0.25">
      <c r="A38" s="24">
        <v>7</v>
      </c>
      <c r="B38" s="37" t="s">
        <v>10</v>
      </c>
      <c r="C38" s="44" t="s">
        <v>252</v>
      </c>
      <c r="D38" s="25">
        <v>122</v>
      </c>
      <c r="E38" s="25" t="s">
        <v>84</v>
      </c>
      <c r="F38" s="26">
        <v>3.8993055555555552E-2</v>
      </c>
      <c r="G38" s="26">
        <f t="shared" ref="G38" si="10">F38</f>
        <v>3.8993055555555552E-2</v>
      </c>
      <c r="H38" s="25"/>
      <c r="I38" s="38"/>
      <c r="J38" s="27"/>
    </row>
    <row r="39" spans="1:10" x14ac:dyDescent="0.25">
      <c r="A39" s="24"/>
      <c r="B39" s="15"/>
      <c r="C39" s="44" t="s">
        <v>253</v>
      </c>
      <c r="D39" s="25">
        <v>222</v>
      </c>
      <c r="E39" s="25" t="s">
        <v>84</v>
      </c>
      <c r="F39" s="26">
        <v>4.1932870370370377E-2</v>
      </c>
      <c r="G39" s="26">
        <f t="shared" ref="G39" si="11">F38+F39</f>
        <v>8.0925925925925929E-2</v>
      </c>
      <c r="H39" s="25">
        <v>7</v>
      </c>
      <c r="I39" s="38">
        <v>3.5</v>
      </c>
      <c r="J39" s="27"/>
    </row>
    <row r="40" spans="1:10" x14ac:dyDescent="0.25">
      <c r="A40" s="24"/>
      <c r="B40" s="15"/>
      <c r="C40" s="15"/>
      <c r="D40" s="25"/>
      <c r="E40" s="25"/>
      <c r="F40" s="25"/>
      <c r="G40" s="25"/>
      <c r="H40" s="25"/>
      <c r="I40" s="38"/>
      <c r="J40" s="27"/>
    </row>
    <row r="41" spans="1:10" x14ac:dyDescent="0.25">
      <c r="A41" s="24">
        <v>8</v>
      </c>
      <c r="B41" s="15" t="s">
        <v>9</v>
      </c>
      <c r="C41" s="44" t="s">
        <v>260</v>
      </c>
      <c r="D41" s="25">
        <v>127</v>
      </c>
      <c r="E41" s="25" t="s">
        <v>84</v>
      </c>
      <c r="F41" s="26">
        <v>3.5995370370370372E-2</v>
      </c>
      <c r="G41" s="26">
        <f t="shared" ref="G41" si="12">F41</f>
        <v>3.5995370370370372E-2</v>
      </c>
      <c r="H41" s="25"/>
      <c r="I41" s="38"/>
      <c r="J41" s="27"/>
    </row>
    <row r="42" spans="1:10" x14ac:dyDescent="0.25">
      <c r="A42" s="24"/>
      <c r="B42" s="15"/>
      <c r="C42" s="44" t="s">
        <v>237</v>
      </c>
      <c r="D42" s="25">
        <v>227</v>
      </c>
      <c r="E42" s="25" t="s">
        <v>84</v>
      </c>
      <c r="F42" s="26">
        <v>4.4953703703703697E-2</v>
      </c>
      <c r="G42" s="26">
        <f t="shared" ref="G42" si="13">F41+F42</f>
        <v>8.0949074074074062E-2</v>
      </c>
      <c r="H42" s="25">
        <v>8</v>
      </c>
      <c r="I42" s="38">
        <v>4</v>
      </c>
      <c r="J42" s="27"/>
    </row>
    <row r="43" spans="1:10" x14ac:dyDescent="0.25">
      <c r="A43" s="24"/>
      <c r="B43" s="15"/>
      <c r="C43" s="15"/>
      <c r="D43" s="25"/>
      <c r="E43" s="25"/>
      <c r="F43" s="25"/>
      <c r="G43" s="25"/>
      <c r="H43" s="25"/>
      <c r="I43" s="38"/>
      <c r="J43" s="27"/>
    </row>
    <row r="44" spans="1:10" x14ac:dyDescent="0.25">
      <c r="A44" s="24">
        <v>9</v>
      </c>
      <c r="B44" s="15" t="s">
        <v>29</v>
      </c>
      <c r="C44" s="44" t="s">
        <v>259</v>
      </c>
      <c r="D44" s="25">
        <v>128</v>
      </c>
      <c r="E44" s="25" t="s">
        <v>6</v>
      </c>
      <c r="F44" s="26">
        <v>4.1331018518518517E-2</v>
      </c>
      <c r="G44" s="26">
        <f t="shared" ref="G44" si="14">F44</f>
        <v>4.1331018518518517E-2</v>
      </c>
      <c r="H44" s="25"/>
      <c r="I44" s="25"/>
      <c r="J44" s="27"/>
    </row>
    <row r="45" spans="1:10" ht="13.8" thickBot="1" x14ac:dyDescent="0.3">
      <c r="A45" s="28"/>
      <c r="B45" s="29"/>
      <c r="C45" s="46" t="s">
        <v>262</v>
      </c>
      <c r="D45" s="30">
        <v>228</v>
      </c>
      <c r="E45" s="30" t="s">
        <v>6</v>
      </c>
      <c r="F45" s="31">
        <v>7.6249999999999998E-2</v>
      </c>
      <c r="G45" s="31">
        <f t="shared" ref="G45" si="15">F44+F45</f>
        <v>0.11758101851851852</v>
      </c>
      <c r="H45" s="30">
        <v>9</v>
      </c>
      <c r="I45" s="40">
        <v>4.5</v>
      </c>
      <c r="J45" s="32"/>
    </row>
    <row r="46" spans="1:10" x14ac:dyDescent="0.25">
      <c r="A46" s="3"/>
      <c r="C46"/>
    </row>
    <row r="47" spans="1:10" s="3" customFormat="1" x14ac:dyDescent="0.25">
      <c r="B47" s="1" t="s">
        <v>132</v>
      </c>
      <c r="C47" s="1"/>
    </row>
    <row r="48" spans="1:10" s="3" customFormat="1" x14ac:dyDescent="0.25">
      <c r="B48" s="1" t="s">
        <v>336</v>
      </c>
      <c r="C48" s="1"/>
      <c r="E48"/>
      <c r="F48"/>
      <c r="G48"/>
    </row>
    <row r="49" spans="1:7" s="3" customFormat="1" x14ac:dyDescent="0.25">
      <c r="B49" s="1" t="s">
        <v>341</v>
      </c>
      <c r="C49" s="1"/>
      <c r="E49"/>
      <c r="F49"/>
      <c r="G49"/>
    </row>
    <row r="50" spans="1:7" s="3" customFormat="1" x14ac:dyDescent="0.25">
      <c r="B50" s="1"/>
      <c r="C50" s="1"/>
      <c r="E50"/>
      <c r="F50"/>
      <c r="G50"/>
    </row>
    <row r="51" spans="1:7" s="3" customFormat="1" x14ac:dyDescent="0.25">
      <c r="B51" s="1"/>
      <c r="C51" s="1"/>
      <c r="E51"/>
      <c r="F51"/>
      <c r="G51"/>
    </row>
    <row r="52" spans="1:7" s="3" customFormat="1" x14ac:dyDescent="0.25">
      <c r="B52" s="2" t="s">
        <v>30</v>
      </c>
      <c r="C52" s="2" t="s">
        <v>32</v>
      </c>
      <c r="E52"/>
      <c r="F52"/>
      <c r="G52"/>
    </row>
    <row r="53" spans="1:7" s="3" customFormat="1" x14ac:dyDescent="0.25">
      <c r="B53" s="2" t="s">
        <v>31</v>
      </c>
      <c r="C53" s="2" t="s">
        <v>33</v>
      </c>
      <c r="E53"/>
      <c r="F53"/>
      <c r="G53"/>
    </row>
    <row r="54" spans="1:7" s="3" customFormat="1" x14ac:dyDescent="0.25">
      <c r="B54" s="2"/>
      <c r="C54"/>
      <c r="E54"/>
      <c r="F54"/>
      <c r="G54"/>
    </row>
    <row r="55" spans="1:7" s="3" customFormat="1" x14ac:dyDescent="0.25">
      <c r="B55" s="2"/>
      <c r="C55"/>
      <c r="E55"/>
      <c r="F55"/>
      <c r="G55"/>
    </row>
    <row r="56" spans="1:7" s="3" customFormat="1" x14ac:dyDescent="0.25">
      <c r="B56" s="2"/>
      <c r="C56" s="2"/>
      <c r="E56"/>
      <c r="F56"/>
      <c r="G56"/>
    </row>
    <row r="57" spans="1:7" s="3" customFormat="1" x14ac:dyDescent="0.25">
      <c r="B57" s="2"/>
      <c r="C57" s="2"/>
      <c r="E57"/>
      <c r="F57"/>
      <c r="G57"/>
    </row>
    <row r="58" spans="1:7" s="3" customFormat="1" x14ac:dyDescent="0.25">
      <c r="B58" s="2"/>
      <c r="C58" s="2"/>
      <c r="E58"/>
      <c r="F58"/>
      <c r="G58"/>
    </row>
    <row r="59" spans="1:7" s="3" customFormat="1" x14ac:dyDescent="0.25">
      <c r="B59" s="2"/>
      <c r="C59" s="2"/>
      <c r="E59"/>
      <c r="F59"/>
      <c r="G59"/>
    </row>
    <row r="60" spans="1:7" s="3" customFormat="1" x14ac:dyDescent="0.25">
      <c r="B60" s="2"/>
      <c r="C60" s="2"/>
      <c r="E60"/>
      <c r="F60"/>
      <c r="G60"/>
    </row>
    <row r="61" spans="1:7" s="3" customFormat="1" x14ac:dyDescent="0.25">
      <c r="B61" s="2"/>
      <c r="C61" s="2"/>
      <c r="E61"/>
      <c r="F61"/>
      <c r="G61"/>
    </row>
    <row r="62" spans="1:7" x14ac:dyDescent="0.25">
      <c r="A62" s="3"/>
      <c r="E62"/>
      <c r="F62"/>
      <c r="G62"/>
    </row>
    <row r="63" spans="1:7" x14ac:dyDescent="0.25">
      <c r="A63" s="3"/>
      <c r="E63"/>
      <c r="F63"/>
      <c r="G63"/>
    </row>
    <row r="64" spans="1:7" x14ac:dyDescent="0.25">
      <c r="A64" s="3"/>
      <c r="E64"/>
      <c r="F64"/>
      <c r="G64"/>
    </row>
    <row r="65" spans="1:7" x14ac:dyDescent="0.25">
      <c r="A65" s="3"/>
      <c r="E65"/>
      <c r="F65"/>
      <c r="G65"/>
    </row>
    <row r="66" spans="1:7" x14ac:dyDescent="0.25">
      <c r="A66" s="3"/>
      <c r="E66"/>
      <c r="F66"/>
      <c r="G66"/>
    </row>
    <row r="67" spans="1:7" x14ac:dyDescent="0.25">
      <c r="A67" s="3"/>
      <c r="E67"/>
      <c r="F67"/>
      <c r="G67"/>
    </row>
    <row r="68" spans="1:7" x14ac:dyDescent="0.25">
      <c r="A68" s="3"/>
      <c r="E68"/>
      <c r="F68"/>
      <c r="G68"/>
    </row>
    <row r="69" spans="1:7" x14ac:dyDescent="0.25">
      <c r="A69" s="3"/>
    </row>
    <row r="70" spans="1:7" x14ac:dyDescent="0.25">
      <c r="A70" s="3"/>
    </row>
    <row r="71" spans="1:7" x14ac:dyDescent="0.25">
      <c r="A71" s="3"/>
    </row>
    <row r="72" spans="1:7" x14ac:dyDescent="0.25">
      <c r="A72" s="3"/>
    </row>
    <row r="73" spans="1:7" x14ac:dyDescent="0.25">
      <c r="A73" s="3"/>
    </row>
    <row r="74" spans="1:7" x14ac:dyDescent="0.25">
      <c r="A74" s="3"/>
    </row>
    <row r="75" spans="1:7" x14ac:dyDescent="0.25">
      <c r="A75" s="3"/>
    </row>
    <row r="76" spans="1:7" x14ac:dyDescent="0.25">
      <c r="A76" s="3"/>
    </row>
    <row r="77" spans="1:7" x14ac:dyDescent="0.25">
      <c r="A77" s="3"/>
    </row>
    <row r="78" spans="1:7" x14ac:dyDescent="0.25">
      <c r="A78" s="3"/>
    </row>
    <row r="79" spans="1:7" x14ac:dyDescent="0.25">
      <c r="A79" s="3"/>
    </row>
    <row r="80" spans="1:7" x14ac:dyDescent="0.25">
      <c r="A80" s="3"/>
    </row>
  </sheetData>
  <sortState ref="E49:F67">
    <sortCondition ref="F48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6"/>
  <dimension ref="A1:I22"/>
  <sheetViews>
    <sheetView workbookViewId="0">
      <selection activeCell="B14" sqref="B14:B18"/>
    </sheetView>
  </sheetViews>
  <sheetFormatPr defaultColWidth="22.21875" defaultRowHeight="13.2" x14ac:dyDescent="0.25"/>
  <cols>
    <col min="1" max="1" width="7.5546875" style="1" customWidth="1"/>
    <col min="2" max="2" width="22.21875" style="1"/>
    <col min="3" max="6" width="12.6640625" style="1" customWidth="1"/>
    <col min="7" max="8" width="10.88671875" style="1" customWidth="1"/>
    <col min="9" max="9" width="16.33203125" style="1" customWidth="1"/>
    <col min="10" max="16384" width="22.21875" style="1"/>
  </cols>
  <sheetData>
    <row r="1" spans="1:9" x14ac:dyDescent="0.25">
      <c r="A1" s="1" t="s">
        <v>13</v>
      </c>
    </row>
    <row r="2" spans="1:9" x14ac:dyDescent="0.25">
      <c r="A2" s="1" t="s">
        <v>14</v>
      </c>
    </row>
    <row r="4" spans="1:9" x14ac:dyDescent="0.25">
      <c r="A4" s="1" t="s">
        <v>0</v>
      </c>
    </row>
    <row r="6" spans="1:9" x14ac:dyDescent="0.25">
      <c r="A6" s="1" t="s">
        <v>15</v>
      </c>
    </row>
    <row r="7" spans="1:9" x14ac:dyDescent="0.25">
      <c r="A7" s="1" t="s">
        <v>16</v>
      </c>
    </row>
    <row r="9" spans="1:9" x14ac:dyDescent="0.25">
      <c r="A9" s="1" t="s">
        <v>352</v>
      </c>
    </row>
    <row r="11" spans="1:9" ht="20.399999999999999" customHeight="1" x14ac:dyDescent="0.25">
      <c r="A11" s="55" t="s">
        <v>17</v>
      </c>
      <c r="B11" s="55" t="s">
        <v>1</v>
      </c>
      <c r="C11" s="55" t="s">
        <v>18</v>
      </c>
      <c r="D11" s="55"/>
      <c r="E11" s="55"/>
      <c r="F11" s="55"/>
      <c r="G11" s="55" t="s">
        <v>21</v>
      </c>
      <c r="H11" s="55" t="s">
        <v>22</v>
      </c>
      <c r="I11" s="55" t="s">
        <v>23</v>
      </c>
    </row>
    <row r="12" spans="1:9" ht="21" customHeight="1" x14ac:dyDescent="0.25">
      <c r="A12" s="55"/>
      <c r="B12" s="55"/>
      <c r="C12" s="55" t="s">
        <v>19</v>
      </c>
      <c r="D12" s="55"/>
      <c r="E12" s="55" t="s">
        <v>20</v>
      </c>
      <c r="F12" s="55"/>
      <c r="G12" s="55"/>
      <c r="H12" s="55"/>
      <c r="I12" s="55"/>
    </row>
    <row r="13" spans="1:9" ht="22.8" customHeight="1" x14ac:dyDescent="0.25">
      <c r="A13" s="55"/>
      <c r="B13" s="55"/>
      <c r="C13" s="4" t="s">
        <v>349</v>
      </c>
      <c r="D13" s="4" t="s">
        <v>350</v>
      </c>
      <c r="E13" s="4" t="s">
        <v>349</v>
      </c>
      <c r="F13" s="4" t="s">
        <v>350</v>
      </c>
      <c r="G13" s="55"/>
      <c r="H13" s="55"/>
      <c r="I13" s="55"/>
    </row>
    <row r="14" spans="1:9" x14ac:dyDescent="0.25">
      <c r="A14" s="5">
        <v>1</v>
      </c>
      <c r="B14" s="11" t="s">
        <v>345</v>
      </c>
      <c r="C14" s="5">
        <v>1</v>
      </c>
      <c r="D14" s="5">
        <v>2</v>
      </c>
      <c r="E14" s="5">
        <v>1</v>
      </c>
      <c r="F14" s="5">
        <v>2</v>
      </c>
      <c r="G14" s="5">
        <f>SUM(C14:F14)</f>
        <v>6</v>
      </c>
      <c r="H14" s="5">
        <v>1</v>
      </c>
      <c r="I14" s="11"/>
    </row>
    <row r="15" spans="1:9" x14ac:dyDescent="0.25">
      <c r="A15" s="5">
        <v>2</v>
      </c>
      <c r="B15" s="11" t="s">
        <v>346</v>
      </c>
      <c r="C15" s="5">
        <v>2</v>
      </c>
      <c r="D15" s="5">
        <v>1</v>
      </c>
      <c r="E15" s="5">
        <v>3</v>
      </c>
      <c r="F15" s="5">
        <v>1</v>
      </c>
      <c r="G15" s="5">
        <f t="shared" ref="G15:G17" si="0">SUM(C15:F15)</f>
        <v>7</v>
      </c>
      <c r="H15" s="5">
        <v>2</v>
      </c>
      <c r="I15" s="11"/>
    </row>
    <row r="16" spans="1:9" x14ac:dyDescent="0.25">
      <c r="A16" s="5">
        <v>3</v>
      </c>
      <c r="B16" s="11" t="s">
        <v>347</v>
      </c>
      <c r="C16" s="5">
        <v>3</v>
      </c>
      <c r="D16" s="5">
        <v>3</v>
      </c>
      <c r="E16" s="5">
        <v>2</v>
      </c>
      <c r="F16" s="5">
        <v>3</v>
      </c>
      <c r="G16" s="5">
        <f t="shared" si="0"/>
        <v>11</v>
      </c>
      <c r="H16" s="5">
        <v>3</v>
      </c>
      <c r="I16" s="11"/>
    </row>
    <row r="17" spans="1:9" x14ac:dyDescent="0.25">
      <c r="A17" s="5">
        <v>4</v>
      </c>
      <c r="B17" s="11" t="s">
        <v>351</v>
      </c>
      <c r="C17" s="5">
        <v>5</v>
      </c>
      <c r="D17" s="5">
        <v>4</v>
      </c>
      <c r="E17" s="5">
        <v>6</v>
      </c>
      <c r="F17" s="5">
        <v>4</v>
      </c>
      <c r="G17" s="5">
        <f t="shared" si="0"/>
        <v>19</v>
      </c>
      <c r="H17" s="5">
        <v>4</v>
      </c>
      <c r="I17" s="11"/>
    </row>
    <row r="18" spans="1:9" x14ac:dyDescent="0.25">
      <c r="A18" s="5">
        <v>5</v>
      </c>
      <c r="B18" s="11" t="s">
        <v>348</v>
      </c>
      <c r="C18" s="5">
        <v>6</v>
      </c>
      <c r="D18" s="5">
        <v>6</v>
      </c>
      <c r="E18" s="5">
        <v>5</v>
      </c>
      <c r="F18" s="5" t="s">
        <v>24</v>
      </c>
      <c r="G18" s="5" t="s">
        <v>24</v>
      </c>
      <c r="H18" s="5">
        <v>5</v>
      </c>
      <c r="I18" s="11"/>
    </row>
    <row r="21" spans="1:9" x14ac:dyDescent="0.25">
      <c r="B21" s="2" t="s">
        <v>30</v>
      </c>
      <c r="C21" s="2" t="s">
        <v>32</v>
      </c>
    </row>
    <row r="22" spans="1:9" x14ac:dyDescent="0.25">
      <c r="B22" s="2" t="s">
        <v>31</v>
      </c>
      <c r="C22" s="2" t="s">
        <v>33</v>
      </c>
    </row>
  </sheetData>
  <mergeCells count="8">
    <mergeCell ref="G11:G13"/>
    <mergeCell ref="H11:H13"/>
    <mergeCell ref="I11:I13"/>
    <mergeCell ref="A11:A13"/>
    <mergeCell ref="B11:B13"/>
    <mergeCell ref="C11:F11"/>
    <mergeCell ref="C12:D12"/>
    <mergeCell ref="E12:F1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/>
  <dimension ref="A1:J68"/>
  <sheetViews>
    <sheetView topLeftCell="A14" workbookViewId="0">
      <selection activeCell="F44" sqref="F44"/>
    </sheetView>
  </sheetViews>
  <sheetFormatPr defaultRowHeight="13.2" x14ac:dyDescent="0.25"/>
  <cols>
    <col min="1" max="1" width="7.6640625" style="2" customWidth="1"/>
    <col min="2" max="2" width="25.6640625" style="2" customWidth="1"/>
    <col min="3" max="3" width="22" style="2" customWidth="1"/>
    <col min="4" max="4" width="11.88671875" style="3" customWidth="1"/>
    <col min="5" max="5" width="9.44140625" style="3" customWidth="1"/>
    <col min="6" max="6" width="14.6640625" style="3" customWidth="1"/>
    <col min="7" max="7" width="13.21875" style="3" customWidth="1"/>
    <col min="8" max="8" width="7.33203125" style="3" customWidth="1"/>
    <col min="9" max="9" width="7.33203125" style="48" customWidth="1"/>
    <col min="10" max="10" width="15.5546875" style="3" customWidth="1"/>
    <col min="11" max="16384" width="8.88671875" style="2"/>
  </cols>
  <sheetData>
    <row r="1" spans="1:2" x14ac:dyDescent="0.25">
      <c r="A1" s="2" t="s">
        <v>13</v>
      </c>
      <c r="B1" s="1"/>
    </row>
    <row r="2" spans="1:2" x14ac:dyDescent="0.25">
      <c r="A2" s="2" t="s">
        <v>14</v>
      </c>
      <c r="B2" s="1"/>
    </row>
    <row r="3" spans="1:2" x14ac:dyDescent="0.25">
      <c r="A3" s="1"/>
      <c r="B3" s="1"/>
    </row>
    <row r="4" spans="1:2" x14ac:dyDescent="0.25">
      <c r="A4" s="1" t="s">
        <v>44</v>
      </c>
      <c r="B4" s="1"/>
    </row>
    <row r="5" spans="1:2" x14ac:dyDescent="0.25">
      <c r="A5" s="1" t="s">
        <v>319</v>
      </c>
      <c r="B5" s="1"/>
    </row>
    <row r="6" spans="1:2" x14ac:dyDescent="0.25">
      <c r="A6" s="1"/>
      <c r="B6" s="1"/>
    </row>
    <row r="7" spans="1:2" x14ac:dyDescent="0.25">
      <c r="A7" s="1" t="s">
        <v>355</v>
      </c>
      <c r="B7" s="1"/>
    </row>
    <row r="8" spans="1:2" x14ac:dyDescent="0.25">
      <c r="A8" s="1" t="s">
        <v>356</v>
      </c>
      <c r="B8" s="1"/>
    </row>
    <row r="9" spans="1:2" x14ac:dyDescent="0.25">
      <c r="A9" s="1" t="s">
        <v>322</v>
      </c>
      <c r="B9" s="1"/>
    </row>
    <row r="10" spans="1:2" x14ac:dyDescent="0.25">
      <c r="A10" s="1"/>
      <c r="B10" s="1"/>
    </row>
    <row r="11" spans="1:2" x14ac:dyDescent="0.25">
      <c r="A11" s="1" t="s">
        <v>357</v>
      </c>
      <c r="B11" s="1"/>
    </row>
    <row r="12" spans="1:2" x14ac:dyDescent="0.25">
      <c r="A12" s="1"/>
      <c r="B12" s="1"/>
    </row>
    <row r="13" spans="1:2" x14ac:dyDescent="0.25">
      <c r="A13" s="2" t="s">
        <v>324</v>
      </c>
      <c r="B13" s="1"/>
    </row>
    <row r="14" spans="1:2" x14ac:dyDescent="0.25">
      <c r="A14" s="2" t="s">
        <v>16</v>
      </c>
      <c r="B14" s="1"/>
    </row>
    <row r="15" spans="1:2" x14ac:dyDescent="0.25">
      <c r="A15" s="1"/>
      <c r="B15" s="1"/>
    </row>
    <row r="16" spans="1:2" x14ac:dyDescent="0.25">
      <c r="A16" s="1" t="s">
        <v>354</v>
      </c>
      <c r="B16" s="1"/>
    </row>
    <row r="18" spans="1:10" ht="13.8" thickBot="1" x14ac:dyDescent="0.3"/>
    <row r="19" spans="1:10" ht="27" thickBot="1" x14ac:dyDescent="0.3">
      <c r="A19" s="41" t="s">
        <v>17</v>
      </c>
      <c r="B19" s="42" t="s">
        <v>1</v>
      </c>
      <c r="C19" s="42" t="s">
        <v>309</v>
      </c>
      <c r="D19" s="42" t="s">
        <v>81</v>
      </c>
      <c r="E19" s="42" t="s">
        <v>310</v>
      </c>
      <c r="F19" s="42" t="s">
        <v>311</v>
      </c>
      <c r="G19" s="42" t="s">
        <v>312</v>
      </c>
      <c r="H19" s="42" t="s">
        <v>22</v>
      </c>
      <c r="I19" s="49" t="s">
        <v>39</v>
      </c>
      <c r="J19" s="43" t="s">
        <v>313</v>
      </c>
    </row>
    <row r="20" spans="1:10" x14ac:dyDescent="0.25">
      <c r="A20" s="19">
        <v>1</v>
      </c>
      <c r="B20" s="52" t="s">
        <v>346</v>
      </c>
      <c r="C20" s="45" t="s">
        <v>359</v>
      </c>
      <c r="D20" s="21">
        <v>151</v>
      </c>
      <c r="E20" s="21" t="s">
        <v>84</v>
      </c>
      <c r="F20" s="22">
        <v>2.5231481481481483E-2</v>
      </c>
      <c r="G20" s="22">
        <f>F20</f>
        <v>2.5231481481481483E-2</v>
      </c>
      <c r="H20" s="21"/>
      <c r="I20" s="50"/>
      <c r="J20" s="23"/>
    </row>
    <row r="21" spans="1:10" x14ac:dyDescent="0.25">
      <c r="A21" s="24"/>
      <c r="B21" s="47"/>
      <c r="C21" s="44" t="s">
        <v>360</v>
      </c>
      <c r="D21" s="25">
        <v>251</v>
      </c>
      <c r="E21" s="25" t="s">
        <v>84</v>
      </c>
      <c r="F21" s="26">
        <v>3.125E-2</v>
      </c>
      <c r="G21" s="26">
        <f>F20+F21</f>
        <v>5.648148148148148E-2</v>
      </c>
      <c r="H21" s="25">
        <v>1</v>
      </c>
      <c r="I21" s="51">
        <v>1</v>
      </c>
      <c r="J21" s="27"/>
    </row>
    <row r="22" spans="1:10" x14ac:dyDescent="0.25">
      <c r="A22" s="24"/>
      <c r="B22" s="47"/>
      <c r="C22" s="15"/>
      <c r="D22" s="25"/>
      <c r="E22" s="25"/>
      <c r="F22" s="25"/>
      <c r="G22" s="25"/>
      <c r="H22" s="25"/>
      <c r="I22" s="51"/>
      <c r="J22" s="27"/>
    </row>
    <row r="23" spans="1:10" x14ac:dyDescent="0.25">
      <c r="A23" s="24">
        <v>2</v>
      </c>
      <c r="B23" s="47" t="s">
        <v>345</v>
      </c>
      <c r="C23" s="44" t="s">
        <v>361</v>
      </c>
      <c r="D23" s="25">
        <v>152</v>
      </c>
      <c r="E23" s="25" t="s">
        <v>84</v>
      </c>
      <c r="F23" s="26">
        <v>3.4803240740740739E-2</v>
      </c>
      <c r="G23" s="26">
        <f t="shared" ref="G23" si="0">F23</f>
        <v>3.4803240740740739E-2</v>
      </c>
      <c r="H23" s="25"/>
      <c r="I23" s="51"/>
      <c r="J23" s="27"/>
    </row>
    <row r="24" spans="1:10" x14ac:dyDescent="0.25">
      <c r="A24" s="24"/>
      <c r="B24" s="47"/>
      <c r="C24" s="44" t="s">
        <v>362</v>
      </c>
      <c r="D24" s="25">
        <v>252</v>
      </c>
      <c r="E24" s="25" t="s">
        <v>84</v>
      </c>
      <c r="F24" s="26">
        <v>3.936342592592592E-2</v>
      </c>
      <c r="G24" s="26">
        <f t="shared" ref="G24" si="1">F23+F24</f>
        <v>7.4166666666666659E-2</v>
      </c>
      <c r="H24" s="25">
        <v>2</v>
      </c>
      <c r="I24" s="51">
        <v>2</v>
      </c>
      <c r="J24" s="27"/>
    </row>
    <row r="25" spans="1:10" x14ac:dyDescent="0.25">
      <c r="A25" s="24"/>
      <c r="B25" s="47"/>
      <c r="C25" s="15"/>
      <c r="D25" s="25"/>
      <c r="E25" s="25"/>
      <c r="F25" s="25"/>
      <c r="G25" s="25"/>
      <c r="H25" s="25"/>
      <c r="I25" s="51"/>
      <c r="J25" s="27"/>
    </row>
    <row r="26" spans="1:10" x14ac:dyDescent="0.25">
      <c r="A26" s="24">
        <v>3</v>
      </c>
      <c r="B26" s="47" t="s">
        <v>347</v>
      </c>
      <c r="C26" s="44" t="s">
        <v>363</v>
      </c>
      <c r="D26" s="25">
        <v>153</v>
      </c>
      <c r="E26" s="25" t="s">
        <v>84</v>
      </c>
      <c r="F26" s="26">
        <v>3.5949074074074071E-2</v>
      </c>
      <c r="G26" s="26">
        <f t="shared" ref="G26" si="2">F26</f>
        <v>3.5949074074074071E-2</v>
      </c>
      <c r="H26" s="25"/>
      <c r="I26" s="51"/>
      <c r="J26" s="27"/>
    </row>
    <row r="27" spans="1:10" x14ac:dyDescent="0.25">
      <c r="A27" s="24"/>
      <c r="B27" s="47"/>
      <c r="C27" s="44" t="s">
        <v>364</v>
      </c>
      <c r="D27" s="25">
        <v>253</v>
      </c>
      <c r="E27" s="25" t="s">
        <v>84</v>
      </c>
      <c r="F27" s="26">
        <v>5.3333333333333337E-2</v>
      </c>
      <c r="G27" s="26">
        <f t="shared" ref="G27" si="3">F26+F27</f>
        <v>8.9282407407407408E-2</v>
      </c>
      <c r="H27" s="25">
        <v>3</v>
      </c>
      <c r="I27" s="51">
        <v>3</v>
      </c>
      <c r="J27" s="27"/>
    </row>
    <row r="28" spans="1:10" x14ac:dyDescent="0.25">
      <c r="A28" s="24"/>
      <c r="B28" s="47"/>
      <c r="C28" s="15"/>
      <c r="D28" s="25"/>
      <c r="E28" s="25"/>
      <c r="F28" s="25"/>
      <c r="G28" s="25"/>
      <c r="H28" s="25"/>
      <c r="I28" s="51"/>
      <c r="J28" s="27"/>
    </row>
    <row r="29" spans="1:10" x14ac:dyDescent="0.25">
      <c r="A29" s="24">
        <v>4</v>
      </c>
      <c r="B29" s="47" t="s">
        <v>351</v>
      </c>
      <c r="C29" s="44" t="s">
        <v>365</v>
      </c>
      <c r="D29" s="25">
        <v>154</v>
      </c>
      <c r="E29" s="25" t="s">
        <v>6</v>
      </c>
      <c r="F29" s="26">
        <v>4.5891203703703705E-2</v>
      </c>
      <c r="G29" s="26">
        <f t="shared" ref="G29" si="4">F29</f>
        <v>4.5891203703703705E-2</v>
      </c>
      <c r="H29" s="25"/>
      <c r="I29" s="51"/>
      <c r="J29" s="27"/>
    </row>
    <row r="30" spans="1:10" x14ac:dyDescent="0.25">
      <c r="A30" s="24"/>
      <c r="B30" s="47"/>
      <c r="C30" s="44" t="s">
        <v>366</v>
      </c>
      <c r="D30" s="25">
        <v>254</v>
      </c>
      <c r="E30" s="25" t="s">
        <v>6</v>
      </c>
      <c r="F30" s="26">
        <v>5.0532407407407408E-2</v>
      </c>
      <c r="G30" s="26">
        <f t="shared" ref="G30" si="5">F29+F30</f>
        <v>9.6423611111111113E-2</v>
      </c>
      <c r="H30" s="25">
        <v>4</v>
      </c>
      <c r="I30" s="51">
        <v>4</v>
      </c>
      <c r="J30" s="27"/>
    </row>
    <row r="31" spans="1:10" x14ac:dyDescent="0.25">
      <c r="A31" s="24"/>
      <c r="B31" s="47"/>
      <c r="C31" s="15"/>
      <c r="D31" s="25"/>
      <c r="E31" s="25"/>
      <c r="F31" s="25"/>
      <c r="G31" s="25"/>
      <c r="H31" s="25"/>
      <c r="I31" s="51"/>
      <c r="J31" s="27"/>
    </row>
    <row r="32" spans="1:10" x14ac:dyDescent="0.25">
      <c r="A32" s="24">
        <v>5</v>
      </c>
      <c r="B32" s="47" t="s">
        <v>348</v>
      </c>
      <c r="C32" s="44" t="s">
        <v>367</v>
      </c>
      <c r="D32" s="25">
        <v>155</v>
      </c>
      <c r="E32" s="25" t="s">
        <v>84</v>
      </c>
      <c r="F32" s="26" t="s">
        <v>358</v>
      </c>
      <c r="G32" s="25"/>
      <c r="H32" s="25"/>
      <c r="I32" s="51"/>
      <c r="J32" s="27"/>
    </row>
    <row r="33" spans="1:10" ht="13.8" thickBot="1" x14ac:dyDescent="0.3">
      <c r="A33" s="28"/>
      <c r="B33" s="53"/>
      <c r="C33" s="46" t="s">
        <v>368</v>
      </c>
      <c r="D33" s="30">
        <v>255</v>
      </c>
      <c r="E33" s="30" t="s">
        <v>84</v>
      </c>
      <c r="F33" s="31"/>
      <c r="G33" s="30"/>
      <c r="H33" s="30"/>
      <c r="I33" s="54"/>
      <c r="J33" s="32"/>
    </row>
    <row r="34" spans="1:10" x14ac:dyDescent="0.25">
      <c r="A34" s="3"/>
      <c r="C34"/>
    </row>
    <row r="35" spans="1:10" s="3" customFormat="1" x14ac:dyDescent="0.25">
      <c r="B35" s="1"/>
      <c r="C35" s="1"/>
      <c r="I35" s="48"/>
    </row>
    <row r="36" spans="1:10" s="3" customFormat="1" x14ac:dyDescent="0.25">
      <c r="B36" s="1"/>
      <c r="C36" s="1"/>
      <c r="E36"/>
      <c r="F36"/>
      <c r="G36"/>
      <c r="I36" s="48"/>
    </row>
    <row r="37" spans="1:10" s="3" customFormat="1" x14ac:dyDescent="0.25">
      <c r="B37" s="2" t="s">
        <v>30</v>
      </c>
      <c r="C37" s="2" t="s">
        <v>32</v>
      </c>
      <c r="E37"/>
      <c r="F37"/>
      <c r="G37"/>
      <c r="I37" s="48"/>
    </row>
    <row r="38" spans="1:10" s="3" customFormat="1" x14ac:dyDescent="0.25">
      <c r="B38" s="2" t="s">
        <v>31</v>
      </c>
      <c r="C38" s="2" t="s">
        <v>33</v>
      </c>
      <c r="E38"/>
      <c r="F38"/>
      <c r="G38"/>
      <c r="I38" s="48"/>
    </row>
    <row r="39" spans="1:10" s="3" customFormat="1" x14ac:dyDescent="0.25">
      <c r="B39" s="1"/>
      <c r="C39" s="1"/>
      <c r="E39"/>
      <c r="F39"/>
      <c r="G39"/>
      <c r="I39" s="48"/>
    </row>
    <row r="40" spans="1:10" s="3" customFormat="1" x14ac:dyDescent="0.25">
      <c r="E40"/>
      <c r="F40"/>
      <c r="G40"/>
      <c r="I40" s="48"/>
    </row>
    <row r="41" spans="1:10" s="3" customFormat="1" x14ac:dyDescent="0.25">
      <c r="E41"/>
      <c r="F41"/>
      <c r="G41"/>
      <c r="I41" s="48"/>
    </row>
    <row r="42" spans="1:10" s="3" customFormat="1" x14ac:dyDescent="0.25">
      <c r="B42" s="2"/>
      <c r="C42"/>
      <c r="E42"/>
      <c r="F42"/>
      <c r="G42"/>
      <c r="I42" s="48"/>
    </row>
    <row r="43" spans="1:10" s="3" customFormat="1" x14ac:dyDescent="0.25">
      <c r="B43" s="2"/>
      <c r="C43"/>
      <c r="E43"/>
      <c r="F43"/>
      <c r="G43"/>
      <c r="I43" s="48"/>
    </row>
    <row r="44" spans="1:10" s="3" customFormat="1" x14ac:dyDescent="0.25">
      <c r="B44" s="2"/>
      <c r="C44" s="2"/>
      <c r="E44"/>
      <c r="F44"/>
      <c r="G44"/>
      <c r="I44" s="48"/>
    </row>
    <row r="45" spans="1:10" s="3" customFormat="1" x14ac:dyDescent="0.25">
      <c r="B45" s="2"/>
      <c r="C45" s="2"/>
      <c r="E45"/>
      <c r="F45"/>
      <c r="G45"/>
      <c r="I45" s="48"/>
    </row>
    <row r="46" spans="1:10" s="3" customFormat="1" x14ac:dyDescent="0.25">
      <c r="B46" s="2"/>
      <c r="C46" s="2"/>
      <c r="E46"/>
      <c r="F46"/>
      <c r="G46"/>
      <c r="I46" s="48"/>
    </row>
    <row r="47" spans="1:10" s="3" customFormat="1" x14ac:dyDescent="0.25">
      <c r="B47" s="2"/>
      <c r="C47" s="2"/>
      <c r="E47"/>
      <c r="F47"/>
      <c r="G47"/>
      <c r="I47" s="48"/>
    </row>
    <row r="48" spans="1:10" s="3" customFormat="1" x14ac:dyDescent="0.25">
      <c r="B48" s="2"/>
      <c r="C48" s="2"/>
      <c r="E48"/>
      <c r="F48"/>
      <c r="G48"/>
      <c r="I48" s="48"/>
    </row>
    <row r="49" spans="2:9" s="3" customFormat="1" x14ac:dyDescent="0.25">
      <c r="B49" s="2"/>
      <c r="C49" s="2"/>
      <c r="E49"/>
      <c r="F49"/>
      <c r="G49"/>
      <c r="I49" s="48"/>
    </row>
    <row r="50" spans="2:9" s="3" customFormat="1" x14ac:dyDescent="0.25">
      <c r="B50" s="2"/>
      <c r="C50" s="2"/>
      <c r="E50"/>
      <c r="F50"/>
      <c r="G50"/>
      <c r="I50" s="48"/>
    </row>
    <row r="51" spans="2:9" s="3" customFormat="1" x14ac:dyDescent="0.25">
      <c r="B51" s="2"/>
      <c r="C51" s="2"/>
      <c r="E51"/>
      <c r="F51"/>
      <c r="G51"/>
      <c r="I51" s="48"/>
    </row>
    <row r="52" spans="2:9" s="3" customFormat="1" x14ac:dyDescent="0.25">
      <c r="B52" s="2"/>
      <c r="C52" s="2"/>
      <c r="E52"/>
      <c r="F52"/>
      <c r="G52"/>
      <c r="I52" s="48"/>
    </row>
    <row r="53" spans="2:9" s="3" customFormat="1" x14ac:dyDescent="0.25">
      <c r="B53" s="2"/>
      <c r="C53" s="2"/>
      <c r="E53"/>
      <c r="F53"/>
      <c r="G53"/>
      <c r="I53" s="48"/>
    </row>
    <row r="54" spans="2:9" s="3" customFormat="1" x14ac:dyDescent="0.25">
      <c r="B54" s="2"/>
      <c r="C54" s="2"/>
      <c r="E54"/>
      <c r="F54"/>
      <c r="G54"/>
      <c r="I54" s="48"/>
    </row>
    <row r="55" spans="2:9" s="3" customFormat="1" x14ac:dyDescent="0.25">
      <c r="B55" s="2"/>
      <c r="C55" s="2"/>
      <c r="E55"/>
      <c r="F55"/>
      <c r="G55"/>
      <c r="I55" s="48"/>
    </row>
    <row r="56" spans="2:9" s="3" customFormat="1" x14ac:dyDescent="0.25">
      <c r="B56" s="2"/>
      <c r="C56" s="2"/>
      <c r="E56"/>
      <c r="F56"/>
      <c r="G56"/>
      <c r="I56" s="48"/>
    </row>
    <row r="57" spans="2:9" s="3" customFormat="1" x14ac:dyDescent="0.25">
      <c r="B57" s="2"/>
      <c r="C57" s="2"/>
      <c r="I57" s="48"/>
    </row>
    <row r="58" spans="2:9" s="3" customFormat="1" x14ac:dyDescent="0.25">
      <c r="B58" s="2"/>
      <c r="C58" s="2"/>
      <c r="I58" s="48"/>
    </row>
    <row r="59" spans="2:9" s="3" customFormat="1" x14ac:dyDescent="0.25">
      <c r="B59" s="2"/>
      <c r="C59" s="2"/>
      <c r="I59" s="48"/>
    </row>
    <row r="60" spans="2:9" s="3" customFormat="1" x14ac:dyDescent="0.25">
      <c r="B60" s="2"/>
      <c r="C60" s="2"/>
      <c r="I60" s="48"/>
    </row>
    <row r="61" spans="2:9" s="3" customFormat="1" x14ac:dyDescent="0.25">
      <c r="B61" s="2"/>
      <c r="C61" s="2"/>
      <c r="I61" s="48"/>
    </row>
    <row r="62" spans="2:9" s="3" customFormat="1" x14ac:dyDescent="0.25">
      <c r="B62" s="2"/>
      <c r="C62" s="2"/>
      <c r="I62" s="48"/>
    </row>
    <row r="63" spans="2:9" s="3" customFormat="1" x14ac:dyDescent="0.25">
      <c r="B63" s="2"/>
      <c r="C63" s="2"/>
      <c r="I63" s="48"/>
    </row>
    <row r="64" spans="2:9" s="3" customFormat="1" x14ac:dyDescent="0.25">
      <c r="B64" s="2"/>
      <c r="C64" s="2"/>
      <c r="I64" s="48"/>
    </row>
    <row r="65" spans="2:9" s="3" customFormat="1" x14ac:dyDescent="0.25">
      <c r="B65" s="2"/>
      <c r="C65" s="2"/>
      <c r="I65" s="48"/>
    </row>
    <row r="66" spans="2:9" s="3" customFormat="1" x14ac:dyDescent="0.25">
      <c r="B66" s="2"/>
      <c r="C66" s="2"/>
      <c r="I66" s="48"/>
    </row>
    <row r="67" spans="2:9" s="3" customFormat="1" x14ac:dyDescent="0.25">
      <c r="B67" s="2"/>
      <c r="C67" s="2"/>
      <c r="I67" s="48"/>
    </row>
    <row r="68" spans="2:9" s="3" customFormat="1" x14ac:dyDescent="0.25">
      <c r="B68" s="2"/>
      <c r="C68" s="2"/>
      <c r="I68" s="4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/>
  <dimension ref="A1:J68"/>
  <sheetViews>
    <sheetView tabSelected="1" topLeftCell="A13" workbookViewId="0">
      <selection activeCell="F24" sqref="F24"/>
    </sheetView>
  </sheetViews>
  <sheetFormatPr defaultRowHeight="13.2" x14ac:dyDescent="0.25"/>
  <cols>
    <col min="1" max="1" width="7.6640625" style="2" customWidth="1"/>
    <col min="2" max="2" width="25.6640625" style="2" customWidth="1"/>
    <col min="3" max="3" width="22" style="2" customWidth="1"/>
    <col min="4" max="4" width="11.88671875" style="3" customWidth="1"/>
    <col min="5" max="5" width="9.44140625" style="3" customWidth="1"/>
    <col min="6" max="6" width="14.6640625" style="3" customWidth="1"/>
    <col min="7" max="7" width="13.21875" style="3" customWidth="1"/>
    <col min="8" max="8" width="7.33203125" style="3" customWidth="1"/>
    <col min="9" max="9" width="7.33203125" style="48" customWidth="1"/>
    <col min="10" max="10" width="15.5546875" style="3" customWidth="1"/>
    <col min="11" max="16384" width="8.88671875" style="2"/>
  </cols>
  <sheetData>
    <row r="1" spans="1:2" x14ac:dyDescent="0.25">
      <c r="A1" s="2" t="s">
        <v>13</v>
      </c>
      <c r="B1" s="1"/>
    </row>
    <row r="2" spans="1:2" x14ac:dyDescent="0.25">
      <c r="A2" s="2" t="s">
        <v>14</v>
      </c>
      <c r="B2" s="1"/>
    </row>
    <row r="3" spans="1:2" x14ac:dyDescent="0.25">
      <c r="A3" s="1"/>
      <c r="B3" s="1"/>
    </row>
    <row r="4" spans="1:2" x14ac:dyDescent="0.25">
      <c r="A4" s="1" t="s">
        <v>44</v>
      </c>
      <c r="B4" s="1"/>
    </row>
    <row r="5" spans="1:2" x14ac:dyDescent="0.25">
      <c r="A5" s="1" t="s">
        <v>319</v>
      </c>
      <c r="B5" s="1"/>
    </row>
    <row r="6" spans="1:2" x14ac:dyDescent="0.25">
      <c r="A6" s="1"/>
      <c r="B6" s="1"/>
    </row>
    <row r="7" spans="1:2" x14ac:dyDescent="0.25">
      <c r="A7" s="1" t="s">
        <v>369</v>
      </c>
      <c r="B7" s="1"/>
    </row>
    <row r="8" spans="1:2" x14ac:dyDescent="0.25">
      <c r="A8" s="1" t="s">
        <v>370</v>
      </c>
      <c r="B8" s="1"/>
    </row>
    <row r="9" spans="1:2" x14ac:dyDescent="0.25">
      <c r="A9" s="1" t="s">
        <v>322</v>
      </c>
      <c r="B9" s="1"/>
    </row>
    <row r="10" spans="1:2" x14ac:dyDescent="0.25">
      <c r="A10" s="1"/>
      <c r="B10" s="1"/>
    </row>
    <row r="11" spans="1:2" x14ac:dyDescent="0.25">
      <c r="A11" s="1" t="s">
        <v>371</v>
      </c>
      <c r="B11" s="1"/>
    </row>
    <row r="12" spans="1:2" x14ac:dyDescent="0.25">
      <c r="A12" s="1"/>
      <c r="B12" s="1"/>
    </row>
    <row r="13" spans="1:2" x14ac:dyDescent="0.25">
      <c r="A13" s="2" t="s">
        <v>324</v>
      </c>
      <c r="B13" s="1"/>
    </row>
    <row r="14" spans="1:2" x14ac:dyDescent="0.25">
      <c r="A14" s="2" t="s">
        <v>16</v>
      </c>
      <c r="B14" s="1"/>
    </row>
    <row r="15" spans="1:2" x14ac:dyDescent="0.25">
      <c r="A15" s="1"/>
      <c r="B15" s="1"/>
    </row>
    <row r="16" spans="1:2" x14ac:dyDescent="0.25">
      <c r="A16" s="1" t="s">
        <v>372</v>
      </c>
      <c r="B16" s="1"/>
    </row>
    <row r="18" spans="1:10" ht="13.8" thickBot="1" x14ac:dyDescent="0.3"/>
    <row r="19" spans="1:10" ht="27" thickBot="1" x14ac:dyDescent="0.3">
      <c r="A19" s="41" t="s">
        <v>17</v>
      </c>
      <c r="B19" s="42" t="s">
        <v>1</v>
      </c>
      <c r="C19" s="42" t="s">
        <v>309</v>
      </c>
      <c r="D19" s="42" t="s">
        <v>81</v>
      </c>
      <c r="E19" s="42" t="s">
        <v>310</v>
      </c>
      <c r="F19" s="42" t="s">
        <v>311</v>
      </c>
      <c r="G19" s="42" t="s">
        <v>312</v>
      </c>
      <c r="H19" s="42" t="s">
        <v>22</v>
      </c>
      <c r="I19" s="49" t="s">
        <v>39</v>
      </c>
      <c r="J19" s="43" t="s">
        <v>313</v>
      </c>
    </row>
    <row r="20" spans="1:10" x14ac:dyDescent="0.25">
      <c r="A20" s="19">
        <v>1</v>
      </c>
      <c r="B20" s="52" t="s">
        <v>345</v>
      </c>
      <c r="C20" s="45" t="s">
        <v>374</v>
      </c>
      <c r="D20" s="21">
        <v>141</v>
      </c>
      <c r="E20" s="21" t="s">
        <v>84</v>
      </c>
      <c r="F20" s="22">
        <v>4.2048611111111113E-2</v>
      </c>
      <c r="G20" s="22">
        <f>F20</f>
        <v>4.2048611111111113E-2</v>
      </c>
      <c r="H20" s="21"/>
      <c r="I20" s="50"/>
      <c r="J20" s="23"/>
    </row>
    <row r="21" spans="1:10" x14ac:dyDescent="0.25">
      <c r="A21" s="24"/>
      <c r="B21" s="47"/>
      <c r="C21" s="44" t="s">
        <v>375</v>
      </c>
      <c r="D21" s="25">
        <v>241</v>
      </c>
      <c r="E21" s="25" t="s">
        <v>84</v>
      </c>
      <c r="F21" s="26">
        <v>3.7893518518518521E-2</v>
      </c>
      <c r="G21" s="26">
        <f>F20+F21</f>
        <v>7.9942129629629627E-2</v>
      </c>
      <c r="H21" s="25">
        <v>1</v>
      </c>
      <c r="I21" s="51">
        <v>1</v>
      </c>
      <c r="J21" s="27"/>
    </row>
    <row r="22" spans="1:10" x14ac:dyDescent="0.25">
      <c r="A22" s="24"/>
      <c r="B22" s="47"/>
      <c r="C22" s="15"/>
      <c r="D22" s="25"/>
      <c r="E22" s="25"/>
      <c r="F22" s="25"/>
      <c r="G22" s="25"/>
      <c r="H22" s="25"/>
      <c r="I22" s="51"/>
      <c r="J22" s="27"/>
    </row>
    <row r="23" spans="1:10" x14ac:dyDescent="0.25">
      <c r="A23" s="24">
        <v>2</v>
      </c>
      <c r="B23" s="47" t="s">
        <v>347</v>
      </c>
      <c r="C23" s="44" t="s">
        <v>376</v>
      </c>
      <c r="D23" s="25">
        <v>143</v>
      </c>
      <c r="E23" s="25" t="s">
        <v>84</v>
      </c>
      <c r="F23" s="26">
        <v>4.3599537037037034E-2</v>
      </c>
      <c r="G23" s="26">
        <f t="shared" ref="G23" si="0">F23</f>
        <v>4.3599537037037034E-2</v>
      </c>
      <c r="H23" s="25"/>
      <c r="I23" s="51"/>
      <c r="J23" s="27"/>
    </row>
    <row r="24" spans="1:10" x14ac:dyDescent="0.25">
      <c r="A24" s="24"/>
      <c r="B24" s="15"/>
      <c r="C24" s="44" t="s">
        <v>377</v>
      </c>
      <c r="D24" s="25">
        <v>243</v>
      </c>
      <c r="E24" s="25" t="s">
        <v>49</v>
      </c>
      <c r="F24" s="26">
        <v>4.2152777777777782E-2</v>
      </c>
      <c r="G24" s="26">
        <f t="shared" ref="G24" si="1">F23+F24</f>
        <v>8.5752314814814823E-2</v>
      </c>
      <c r="H24" s="25">
        <v>2</v>
      </c>
      <c r="I24" s="51">
        <v>2</v>
      </c>
      <c r="J24" s="27"/>
    </row>
    <row r="25" spans="1:10" x14ac:dyDescent="0.25">
      <c r="A25" s="24"/>
      <c r="B25" s="47"/>
      <c r="C25" s="15"/>
      <c r="D25" s="25"/>
      <c r="E25" s="25"/>
      <c r="F25" s="25"/>
      <c r="G25" s="25"/>
      <c r="H25" s="25"/>
      <c r="I25" s="51"/>
      <c r="J25" s="27"/>
    </row>
    <row r="26" spans="1:10" x14ac:dyDescent="0.25">
      <c r="A26" s="24">
        <v>3</v>
      </c>
      <c r="B26" s="47" t="s">
        <v>346</v>
      </c>
      <c r="C26" s="44" t="s">
        <v>378</v>
      </c>
      <c r="D26" s="25">
        <v>142</v>
      </c>
      <c r="E26" s="25" t="s">
        <v>84</v>
      </c>
      <c r="F26" s="26">
        <v>5.4432870370370368E-2</v>
      </c>
      <c r="G26" s="26">
        <f t="shared" ref="G26" si="2">F26</f>
        <v>5.4432870370370368E-2</v>
      </c>
      <c r="H26" s="25"/>
      <c r="I26" s="51"/>
      <c r="J26" s="27"/>
    </row>
    <row r="27" spans="1:10" x14ac:dyDescent="0.25">
      <c r="A27" s="24"/>
      <c r="B27" s="47"/>
      <c r="C27" s="44" t="s">
        <v>379</v>
      </c>
      <c r="D27" s="25">
        <v>242</v>
      </c>
      <c r="E27" s="25" t="s">
        <v>84</v>
      </c>
      <c r="F27" s="26">
        <v>4.3425925925925923E-2</v>
      </c>
      <c r="G27" s="26">
        <f t="shared" ref="G27" si="3">F26+F27</f>
        <v>9.7858796296296291E-2</v>
      </c>
      <c r="H27" s="25">
        <v>3</v>
      </c>
      <c r="I27" s="51">
        <v>3</v>
      </c>
      <c r="J27" s="27"/>
    </row>
    <row r="28" spans="1:10" x14ac:dyDescent="0.25">
      <c r="A28" s="24"/>
      <c r="B28" s="47"/>
      <c r="C28" s="15"/>
      <c r="D28" s="25"/>
      <c r="E28" s="25"/>
      <c r="F28" s="25"/>
      <c r="G28" s="25"/>
      <c r="H28" s="25"/>
      <c r="I28" s="51"/>
      <c r="J28" s="27"/>
    </row>
    <row r="29" spans="1:10" x14ac:dyDescent="0.25">
      <c r="A29" s="24">
        <v>4</v>
      </c>
      <c r="B29" s="47" t="s">
        <v>348</v>
      </c>
      <c r="C29" s="44" t="s">
        <v>380</v>
      </c>
      <c r="D29" s="25">
        <v>145</v>
      </c>
      <c r="E29" s="25" t="s">
        <v>84</v>
      </c>
      <c r="F29" s="26">
        <v>3.5833333333333335E-2</v>
      </c>
      <c r="G29" s="26">
        <f t="shared" ref="G29" si="4">F29</f>
        <v>3.5833333333333335E-2</v>
      </c>
      <c r="H29" s="25"/>
      <c r="I29" s="51"/>
      <c r="J29" s="27"/>
    </row>
    <row r="30" spans="1:10" x14ac:dyDescent="0.25">
      <c r="A30" s="24"/>
      <c r="B30" s="47"/>
      <c r="C30" s="44" t="s">
        <v>381</v>
      </c>
      <c r="D30" s="25">
        <v>245</v>
      </c>
      <c r="E30" s="25" t="s">
        <v>84</v>
      </c>
      <c r="F30" s="26" t="s">
        <v>386</v>
      </c>
      <c r="G30" s="26"/>
      <c r="H30" s="25">
        <v>4</v>
      </c>
      <c r="I30" s="51">
        <v>5</v>
      </c>
      <c r="J30" s="27" t="s">
        <v>385</v>
      </c>
    </row>
    <row r="31" spans="1:10" x14ac:dyDescent="0.25">
      <c r="A31" s="24"/>
      <c r="B31" s="15"/>
      <c r="C31" s="15"/>
      <c r="D31" s="25"/>
      <c r="E31" s="25"/>
      <c r="F31" s="25"/>
      <c r="G31" s="25"/>
      <c r="H31" s="25"/>
      <c r="I31" s="51"/>
      <c r="J31" s="27"/>
    </row>
    <row r="32" spans="1:10" x14ac:dyDescent="0.25">
      <c r="A32" s="24">
        <v>5</v>
      </c>
      <c r="B32" s="47" t="s">
        <v>351</v>
      </c>
      <c r="C32" s="44" t="s">
        <v>382</v>
      </c>
      <c r="D32" s="25">
        <v>144</v>
      </c>
      <c r="E32" s="25" t="s">
        <v>84</v>
      </c>
      <c r="F32" s="26">
        <v>5.0104166666666672E-2</v>
      </c>
      <c r="G32" s="26">
        <f>F32</f>
        <v>5.0104166666666672E-2</v>
      </c>
      <c r="H32" s="25"/>
      <c r="I32" s="51"/>
      <c r="J32" s="27"/>
    </row>
    <row r="33" spans="1:10" x14ac:dyDescent="0.25">
      <c r="A33" s="24"/>
      <c r="B33" s="47"/>
      <c r="C33" s="44" t="s">
        <v>383</v>
      </c>
      <c r="D33" s="25">
        <v>244</v>
      </c>
      <c r="E33" s="25" t="s">
        <v>84</v>
      </c>
      <c r="F33" s="26" t="s">
        <v>386</v>
      </c>
      <c r="G33" s="26"/>
      <c r="H33" s="25">
        <v>5</v>
      </c>
      <c r="I33" s="51">
        <v>6</v>
      </c>
      <c r="J33" s="27" t="s">
        <v>385</v>
      </c>
    </row>
    <row r="34" spans="1:10" x14ac:dyDescent="0.25">
      <c r="A34" s="24"/>
      <c r="B34" s="15"/>
      <c r="C34" s="37"/>
      <c r="D34" s="25"/>
      <c r="E34" s="25"/>
      <c r="F34" s="25"/>
      <c r="G34" s="25"/>
      <c r="H34" s="25"/>
      <c r="I34" s="51"/>
      <c r="J34" s="27"/>
    </row>
    <row r="35" spans="1:10" s="3" customFormat="1" ht="13.8" thickBot="1" x14ac:dyDescent="0.3">
      <c r="A35" s="28">
        <v>6</v>
      </c>
      <c r="B35" s="46" t="s">
        <v>373</v>
      </c>
      <c r="C35" s="46" t="s">
        <v>384</v>
      </c>
      <c r="D35" s="30">
        <v>146</v>
      </c>
      <c r="E35" s="30" t="s">
        <v>49</v>
      </c>
      <c r="F35" s="31">
        <v>4.3761574074074078E-2</v>
      </c>
      <c r="G35" s="31">
        <f t="shared" ref="G35" si="5">F35</f>
        <v>4.3761574074074078E-2</v>
      </c>
      <c r="H35" s="30" t="s">
        <v>74</v>
      </c>
      <c r="I35" s="54"/>
      <c r="J35" s="32"/>
    </row>
    <row r="36" spans="1:10" s="3" customFormat="1" x14ac:dyDescent="0.25">
      <c r="B36" s="1"/>
      <c r="C36" s="1"/>
      <c r="E36"/>
      <c r="F36"/>
      <c r="G36"/>
      <c r="I36" s="48"/>
    </row>
    <row r="37" spans="1:10" s="3" customFormat="1" x14ac:dyDescent="0.25">
      <c r="E37"/>
      <c r="F37"/>
      <c r="G37"/>
      <c r="I37" s="48"/>
    </row>
    <row r="38" spans="1:10" s="3" customFormat="1" x14ac:dyDescent="0.25">
      <c r="E38"/>
      <c r="F38"/>
      <c r="G38"/>
      <c r="I38" s="48"/>
    </row>
    <row r="39" spans="1:10" s="3" customFormat="1" x14ac:dyDescent="0.25">
      <c r="B39" s="2" t="s">
        <v>30</v>
      </c>
      <c r="C39" s="2" t="s">
        <v>32</v>
      </c>
      <c r="E39"/>
      <c r="F39"/>
      <c r="G39"/>
      <c r="I39" s="48"/>
    </row>
    <row r="40" spans="1:10" s="3" customFormat="1" x14ac:dyDescent="0.25">
      <c r="B40" s="2" t="s">
        <v>31</v>
      </c>
      <c r="C40" s="2" t="s">
        <v>33</v>
      </c>
      <c r="E40"/>
      <c r="F40"/>
      <c r="G40"/>
      <c r="I40" s="48"/>
    </row>
    <row r="41" spans="1:10" s="3" customFormat="1" x14ac:dyDescent="0.25">
      <c r="E41"/>
      <c r="F41"/>
      <c r="G41"/>
      <c r="I41" s="48"/>
    </row>
    <row r="42" spans="1:10" s="3" customFormat="1" x14ac:dyDescent="0.25">
      <c r="B42" s="2"/>
      <c r="C42"/>
      <c r="E42"/>
      <c r="F42"/>
      <c r="G42"/>
      <c r="I42" s="48"/>
    </row>
    <row r="43" spans="1:10" s="3" customFormat="1" x14ac:dyDescent="0.25">
      <c r="B43" s="2"/>
      <c r="C43"/>
      <c r="E43"/>
      <c r="F43"/>
      <c r="G43"/>
      <c r="I43" s="48"/>
    </row>
    <row r="44" spans="1:10" s="3" customFormat="1" x14ac:dyDescent="0.25">
      <c r="B44" s="2"/>
      <c r="C44" s="2"/>
      <c r="E44"/>
      <c r="F44"/>
      <c r="G44"/>
      <c r="I44" s="48"/>
    </row>
    <row r="45" spans="1:10" s="3" customFormat="1" x14ac:dyDescent="0.25">
      <c r="B45" s="2"/>
      <c r="C45" s="2"/>
      <c r="E45"/>
      <c r="F45"/>
      <c r="G45"/>
      <c r="I45" s="48"/>
    </row>
    <row r="46" spans="1:10" s="3" customFormat="1" x14ac:dyDescent="0.25">
      <c r="B46" s="2"/>
      <c r="C46" s="2"/>
      <c r="E46"/>
      <c r="F46"/>
      <c r="G46"/>
      <c r="I46" s="48"/>
    </row>
    <row r="47" spans="1:10" s="3" customFormat="1" x14ac:dyDescent="0.25">
      <c r="B47" s="2"/>
      <c r="C47" s="2"/>
      <c r="E47"/>
      <c r="F47"/>
      <c r="G47"/>
      <c r="I47" s="48"/>
    </row>
    <row r="48" spans="1:10" s="3" customFormat="1" x14ac:dyDescent="0.25">
      <c r="B48" s="2"/>
      <c r="C48" s="2"/>
      <c r="E48"/>
      <c r="F48"/>
      <c r="G48"/>
      <c r="I48" s="48"/>
    </row>
    <row r="49" spans="2:9" s="3" customFormat="1" x14ac:dyDescent="0.25">
      <c r="B49" s="2"/>
      <c r="C49" s="2"/>
      <c r="E49"/>
      <c r="F49"/>
      <c r="G49"/>
      <c r="I49" s="48"/>
    </row>
    <row r="50" spans="2:9" s="3" customFormat="1" x14ac:dyDescent="0.25">
      <c r="B50" s="2"/>
      <c r="C50" s="2"/>
      <c r="E50"/>
      <c r="F50"/>
      <c r="G50"/>
      <c r="I50" s="48"/>
    </row>
    <row r="51" spans="2:9" s="3" customFormat="1" x14ac:dyDescent="0.25">
      <c r="B51" s="2"/>
      <c r="C51" s="2"/>
      <c r="E51"/>
      <c r="F51"/>
      <c r="G51"/>
      <c r="I51" s="48"/>
    </row>
    <row r="52" spans="2:9" s="3" customFormat="1" x14ac:dyDescent="0.25">
      <c r="B52" s="2"/>
      <c r="C52" s="2"/>
      <c r="E52"/>
      <c r="F52"/>
      <c r="G52"/>
      <c r="I52" s="48"/>
    </row>
    <row r="53" spans="2:9" s="3" customFormat="1" x14ac:dyDescent="0.25">
      <c r="B53" s="2"/>
      <c r="C53" s="2"/>
      <c r="E53"/>
      <c r="F53"/>
      <c r="G53"/>
      <c r="I53" s="48"/>
    </row>
    <row r="54" spans="2:9" s="3" customFormat="1" x14ac:dyDescent="0.25">
      <c r="B54" s="2"/>
      <c r="C54" s="2"/>
      <c r="E54"/>
      <c r="F54"/>
      <c r="G54"/>
      <c r="I54" s="48"/>
    </row>
    <row r="55" spans="2:9" s="3" customFormat="1" x14ac:dyDescent="0.25">
      <c r="B55" s="2"/>
      <c r="C55" s="2"/>
      <c r="E55"/>
      <c r="F55"/>
      <c r="G55"/>
      <c r="I55" s="48"/>
    </row>
    <row r="56" spans="2:9" s="3" customFormat="1" x14ac:dyDescent="0.25">
      <c r="B56" s="2"/>
      <c r="C56" s="2"/>
      <c r="E56"/>
      <c r="F56"/>
      <c r="G56"/>
      <c r="I56" s="48"/>
    </row>
    <row r="57" spans="2:9" s="3" customFormat="1" x14ac:dyDescent="0.25">
      <c r="B57" s="2"/>
      <c r="C57" s="2"/>
      <c r="I57" s="48"/>
    </row>
    <row r="58" spans="2:9" s="3" customFormat="1" x14ac:dyDescent="0.25">
      <c r="B58" s="2"/>
      <c r="C58" s="2"/>
      <c r="I58" s="48"/>
    </row>
    <row r="59" spans="2:9" s="3" customFormat="1" x14ac:dyDescent="0.25">
      <c r="B59" s="2"/>
      <c r="C59" s="2"/>
      <c r="I59" s="48"/>
    </row>
    <row r="60" spans="2:9" s="3" customFormat="1" x14ac:dyDescent="0.25">
      <c r="B60" s="2"/>
      <c r="C60" s="2"/>
      <c r="I60" s="48"/>
    </row>
    <row r="61" spans="2:9" s="3" customFormat="1" x14ac:dyDescent="0.25">
      <c r="B61" s="2"/>
      <c r="C61" s="2"/>
      <c r="I61" s="48"/>
    </row>
    <row r="62" spans="2:9" s="3" customFormat="1" x14ac:dyDescent="0.25">
      <c r="B62" s="2"/>
      <c r="C62" s="2"/>
      <c r="I62" s="48"/>
    </row>
    <row r="63" spans="2:9" s="3" customFormat="1" x14ac:dyDescent="0.25">
      <c r="B63" s="2"/>
      <c r="C63" s="2"/>
      <c r="I63" s="48"/>
    </row>
    <row r="64" spans="2:9" s="3" customFormat="1" x14ac:dyDescent="0.25">
      <c r="B64" s="2"/>
      <c r="C64" s="2"/>
      <c r="I64" s="48"/>
    </row>
    <row r="65" spans="2:9" s="3" customFormat="1" x14ac:dyDescent="0.25">
      <c r="B65" s="2"/>
      <c r="C65" s="2"/>
      <c r="I65" s="48"/>
    </row>
    <row r="66" spans="2:9" s="3" customFormat="1" x14ac:dyDescent="0.25">
      <c r="B66" s="2"/>
      <c r="C66" s="2"/>
      <c r="I66" s="48"/>
    </row>
    <row r="67" spans="2:9" s="3" customFormat="1" x14ac:dyDescent="0.25">
      <c r="B67" s="2"/>
      <c r="C67" s="2"/>
      <c r="I67" s="48"/>
    </row>
    <row r="68" spans="2:9" s="3" customFormat="1" x14ac:dyDescent="0.25">
      <c r="B68" s="2"/>
      <c r="C68" s="2"/>
      <c r="I68" s="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Итог А</vt:lpstr>
      <vt:lpstr>25.08 ам21</vt:lpstr>
      <vt:lpstr>25.08 ам21 рез</vt:lpstr>
      <vt:lpstr>25.08 аж21</vt:lpstr>
      <vt:lpstr>25.08 аж21 рез</vt:lpstr>
      <vt:lpstr>25.08 ам17</vt:lpstr>
      <vt:lpstr>25.08 ам17 рез</vt:lpstr>
      <vt:lpstr>25.08 аж17</vt:lpstr>
      <vt:lpstr>25.08 аж17 рез</vt:lpstr>
      <vt:lpstr>27.08 ам21</vt:lpstr>
      <vt:lpstr>27.08 аж21</vt:lpstr>
      <vt:lpstr>27.08 аж17</vt:lpstr>
      <vt:lpstr>27.08 ам17</vt:lpstr>
      <vt:lpstr>Итог Б</vt:lpstr>
      <vt:lpstr>27.08 бж21</vt:lpstr>
      <vt:lpstr>27.08 бм21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2026-03-01T21:23:03Z</dcterms:modified>
</cp:coreProperties>
</file>